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BrunoDP\Downloads\"/>
    </mc:Choice>
  </mc:AlternateContent>
  <xr:revisionPtr revIDLastSave="0" documentId="8_{F1FE4AA0-1929-49B3-8364-66F3DB62C025}" xr6:coauthVersionLast="47" xr6:coauthVersionMax="47" xr10:uidLastSave="{00000000-0000-0000-0000-000000000000}"/>
  <bookViews>
    <workbookView xWindow="1116" yWindow="1116" windowWidth="17280" windowHeight="8880" tabRatio="716" firstSheet="1" activeTab="5" xr2:uid="{2E245F3A-0677-443A-A829-0E9D6CE8D79D}"/>
  </bookViews>
  <sheets>
    <sheet name="Planilha1" sheetId="21" state="hidden" r:id="rId1"/>
    <sheet name="Entendimento" sheetId="1" r:id="rId2"/>
    <sheet name="Identificação e Análise" sheetId="12" r:id="rId3"/>
    <sheet name="Matriz de Riscos e Controles" sheetId="6" r:id="rId4"/>
    <sheet name="Mapa de Calor" sheetId="20" state="hidden" r:id="rId5"/>
    <sheet name="Matriz de Planejamento" sheetId="11" r:id="rId6"/>
    <sheet name="Matriz de Achados(1)" sheetId="4" state="hidden" r:id="rId7"/>
    <sheet name="Matriz de Referência" sheetId="18" state="hidden" r:id="rId8"/>
    <sheet name="Listas" sheetId="7" r:id="rId9"/>
    <sheet name="Tabelas" sheetId="3" r:id="rId10"/>
    <sheet name="Orientações" sheetId="16" r:id="rId11"/>
    <sheet name="Vulnerabilidades" sheetId="17" state="hidden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6" l="1"/>
  <c r="C6" i="11"/>
  <c r="F13" i="6"/>
  <c r="F14" i="6"/>
  <c r="F15" i="6"/>
  <c r="F16" i="6"/>
  <c r="F17" i="6"/>
  <c r="F18" i="6"/>
  <c r="F19" i="6"/>
  <c r="F20" i="6"/>
  <c r="B12" i="6"/>
  <c r="D15" i="6"/>
  <c r="B6" i="11"/>
  <c r="M12" i="6"/>
  <c r="M13" i="6"/>
  <c r="M14" i="6"/>
  <c r="M15" i="6"/>
  <c r="M16" i="6"/>
  <c r="M17" i="6"/>
  <c r="M18" i="6"/>
  <c r="M19" i="6"/>
  <c r="M20" i="6"/>
  <c r="B7" i="11"/>
  <c r="B8" i="6"/>
  <c r="B7" i="6"/>
  <c r="C7" i="6"/>
  <c r="D13" i="6"/>
  <c r="D14" i="6"/>
  <c r="D16" i="6"/>
  <c r="D17" i="6"/>
  <c r="D18" i="6"/>
  <c r="D19" i="6"/>
  <c r="D20" i="6"/>
  <c r="D12" i="6"/>
  <c r="B13" i="6"/>
  <c r="B14" i="6"/>
  <c r="B15" i="6"/>
  <c r="B16" i="6"/>
  <c r="B17" i="6"/>
  <c r="B18" i="6"/>
  <c r="B19" i="6"/>
  <c r="B20" i="6"/>
  <c r="H12" i="6"/>
  <c r="H13" i="6"/>
  <c r="H14" i="6"/>
  <c r="H15" i="6"/>
  <c r="H16" i="6"/>
  <c r="H17" i="6"/>
  <c r="H18" i="6"/>
  <c r="H19" i="6"/>
  <c r="J19" i="6" s="1"/>
  <c r="H20" i="6"/>
  <c r="J20" i="6" s="1"/>
  <c r="J17" i="6" l="1"/>
  <c r="J18" i="6"/>
  <c r="J16" i="6"/>
  <c r="J15" i="6"/>
  <c r="J12" i="6"/>
  <c r="J13" i="6"/>
  <c r="J14" i="6"/>
  <c r="I20" i="6"/>
  <c r="I19" i="6"/>
  <c r="I18" i="6"/>
  <c r="I17" i="6"/>
  <c r="I16" i="6"/>
  <c r="I15" i="6"/>
  <c r="I14" i="6"/>
  <c r="I13" i="6"/>
  <c r="I12" i="6"/>
  <c r="C7" i="11"/>
  <c r="H7" i="20"/>
  <c r="G7" i="20"/>
  <c r="F7" i="20"/>
  <c r="E7" i="20"/>
  <c r="D7" i="20"/>
  <c r="H6" i="20"/>
  <c r="G6" i="20"/>
  <c r="F6" i="20"/>
  <c r="E6" i="20"/>
  <c r="D6" i="20"/>
  <c r="H5" i="20"/>
  <c r="G5" i="20"/>
  <c r="F5" i="20"/>
  <c r="E5" i="20"/>
  <c r="D5" i="20"/>
  <c r="H4" i="20"/>
  <c r="G4" i="20"/>
  <c r="F4" i="20"/>
  <c r="E4" i="20"/>
  <c r="D4" i="20"/>
  <c r="H3" i="20"/>
  <c r="G3" i="20"/>
  <c r="F3" i="20"/>
  <c r="E3" i="20"/>
  <c r="D3" i="20"/>
  <c r="N20" i="6" l="1"/>
  <c r="O16" i="6"/>
  <c r="O14" i="6"/>
  <c r="N12" i="6"/>
  <c r="B20" i="4"/>
  <c r="C16" i="18"/>
  <c r="C14" i="18"/>
  <c r="B14" i="18"/>
  <c r="C12" i="18"/>
  <c r="B12" i="18"/>
  <c r="C6" i="18"/>
  <c r="C4" i="18"/>
  <c r="D7" i="12"/>
  <c r="B14" i="4"/>
  <c r="B12" i="4"/>
  <c r="W28" i="3"/>
  <c r="W27" i="3"/>
  <c r="X27" i="3" s="1"/>
  <c r="W26" i="3"/>
  <c r="X26" i="3" s="1"/>
  <c r="W25" i="3"/>
  <c r="X25" i="3" s="1"/>
  <c r="W24" i="3"/>
  <c r="X24" i="3" s="1"/>
  <c r="W23" i="3"/>
  <c r="X23" i="3" s="1"/>
  <c r="W22" i="3"/>
  <c r="X22" i="3" s="1"/>
  <c r="W21" i="3"/>
  <c r="W20" i="3"/>
  <c r="W19" i="3"/>
  <c r="X19" i="3" s="1"/>
  <c r="W18" i="3"/>
  <c r="X18" i="3" s="1"/>
  <c r="W17" i="3"/>
  <c r="X17" i="3" s="1"/>
  <c r="W16" i="3"/>
  <c r="X16" i="3" s="1"/>
  <c r="W15" i="3"/>
  <c r="X15" i="3" s="1"/>
  <c r="W14" i="3"/>
  <c r="X14" i="3" s="1"/>
  <c r="W13" i="3"/>
  <c r="X13" i="3" s="1"/>
  <c r="W12" i="3"/>
  <c r="X12" i="3" s="1"/>
  <c r="W11" i="3"/>
  <c r="X11" i="3" s="1"/>
  <c r="W10" i="3"/>
  <c r="X10" i="3" s="1"/>
  <c r="R17" i="6" s="1"/>
  <c r="W9" i="3"/>
  <c r="X9" i="3" s="1"/>
  <c r="W8" i="3"/>
  <c r="X8" i="3" s="1"/>
  <c r="W7" i="3"/>
  <c r="X7" i="3" s="1"/>
  <c r="W6" i="3"/>
  <c r="X6" i="3" s="1"/>
  <c r="W5" i="3"/>
  <c r="X5" i="3" s="1"/>
  <c r="W4" i="3"/>
  <c r="X4" i="3" s="1"/>
  <c r="O4" i="17"/>
  <c r="P5" i="17"/>
  <c r="Q5" i="17"/>
  <c r="R5" i="17"/>
  <c r="S5" i="17"/>
  <c r="T5" i="17"/>
  <c r="U5" i="17"/>
  <c r="V5" i="17"/>
  <c r="W5" i="17"/>
  <c r="X5" i="17"/>
  <c r="Y5" i="17"/>
  <c r="Z5" i="17"/>
  <c r="AA5" i="17"/>
  <c r="AB5" i="17"/>
  <c r="AC5" i="17"/>
  <c r="AD5" i="17"/>
  <c r="AE5" i="17"/>
  <c r="AF5" i="17"/>
  <c r="AG5" i="17"/>
  <c r="AH5" i="17"/>
  <c r="AI5" i="17"/>
  <c r="AJ5" i="17"/>
  <c r="AK5" i="17"/>
  <c r="AL5" i="17"/>
  <c r="AM5" i="17"/>
  <c r="AN5" i="17"/>
  <c r="AO5" i="17"/>
  <c r="P6" i="17"/>
  <c r="Q6" i="17"/>
  <c r="R6" i="17"/>
  <c r="S6" i="17"/>
  <c r="T6" i="17"/>
  <c r="U6" i="17"/>
  <c r="V6" i="17"/>
  <c r="W6" i="17"/>
  <c r="X6" i="17"/>
  <c r="Y6" i="17"/>
  <c r="Z6" i="17"/>
  <c r="AA6" i="17"/>
  <c r="AB6" i="17"/>
  <c r="AC6" i="17"/>
  <c r="AD6" i="17"/>
  <c r="AE6" i="17"/>
  <c r="AF6" i="17"/>
  <c r="AG6" i="17"/>
  <c r="AH6" i="17"/>
  <c r="AI6" i="17"/>
  <c r="AJ6" i="17"/>
  <c r="AK6" i="17"/>
  <c r="AL6" i="17"/>
  <c r="AM6" i="17"/>
  <c r="AN6" i="17"/>
  <c r="AO6" i="17"/>
  <c r="P7" i="17"/>
  <c r="Q7" i="17"/>
  <c r="R7" i="17"/>
  <c r="S7" i="17"/>
  <c r="T7" i="17"/>
  <c r="U7" i="17"/>
  <c r="V7" i="17"/>
  <c r="W7" i="17"/>
  <c r="X7" i="17"/>
  <c r="Y7" i="17"/>
  <c r="Z7" i="17"/>
  <c r="AA7" i="17"/>
  <c r="AB7" i="17"/>
  <c r="AC7" i="17"/>
  <c r="AD7" i="17"/>
  <c r="AE7" i="17"/>
  <c r="AF7" i="17"/>
  <c r="AG7" i="17"/>
  <c r="AH7" i="17"/>
  <c r="AI7" i="17"/>
  <c r="AJ7" i="17"/>
  <c r="AK7" i="17"/>
  <c r="AL7" i="17"/>
  <c r="AM7" i="17"/>
  <c r="AN7" i="17"/>
  <c r="AO7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AO8" i="17"/>
  <c r="P9" i="17"/>
  <c r="Q9" i="17"/>
  <c r="R9" i="17"/>
  <c r="S9" i="17"/>
  <c r="T9" i="17"/>
  <c r="U9" i="17"/>
  <c r="V9" i="17"/>
  <c r="W9" i="17"/>
  <c r="X9" i="17"/>
  <c r="Y9" i="17"/>
  <c r="Z9" i="17"/>
  <c r="AA9" i="17"/>
  <c r="AB9" i="17"/>
  <c r="AC9" i="17"/>
  <c r="AD9" i="17"/>
  <c r="AE9" i="17"/>
  <c r="AF9" i="17"/>
  <c r="AG9" i="17"/>
  <c r="AH9" i="17"/>
  <c r="AI9" i="17"/>
  <c r="AJ9" i="17"/>
  <c r="AK9" i="17"/>
  <c r="AL9" i="17"/>
  <c r="AM9" i="17"/>
  <c r="AN9" i="17"/>
  <c r="AO9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AE10" i="17"/>
  <c r="AF10" i="17"/>
  <c r="AG10" i="17"/>
  <c r="AH10" i="17"/>
  <c r="AI10" i="17"/>
  <c r="AJ10" i="17"/>
  <c r="AK10" i="17"/>
  <c r="AL10" i="17"/>
  <c r="AM10" i="17"/>
  <c r="AN10" i="17"/>
  <c r="AO10" i="17"/>
  <c r="P11" i="17"/>
  <c r="Q11" i="17"/>
  <c r="R11" i="17"/>
  <c r="S11" i="17"/>
  <c r="T11" i="17"/>
  <c r="U11" i="17"/>
  <c r="V11" i="17"/>
  <c r="W11" i="17"/>
  <c r="X11" i="17"/>
  <c r="Y11" i="17"/>
  <c r="Z11" i="17"/>
  <c r="AA11" i="17"/>
  <c r="AB11" i="17"/>
  <c r="AC11" i="17"/>
  <c r="AD11" i="17"/>
  <c r="AE11" i="17"/>
  <c r="AF11" i="17"/>
  <c r="AG11" i="17"/>
  <c r="AH11" i="17"/>
  <c r="AI11" i="17"/>
  <c r="AJ11" i="17"/>
  <c r="AK11" i="17"/>
  <c r="AL11" i="17"/>
  <c r="AM11" i="17"/>
  <c r="AN11" i="17"/>
  <c r="AO11" i="17"/>
  <c r="P12" i="17"/>
  <c r="Q12" i="17"/>
  <c r="R12" i="17"/>
  <c r="S12" i="17"/>
  <c r="T12" i="17"/>
  <c r="U12" i="17"/>
  <c r="V12" i="17"/>
  <c r="W12" i="17"/>
  <c r="X12" i="17"/>
  <c r="Y12" i="17"/>
  <c r="Z12" i="17"/>
  <c r="AA12" i="17"/>
  <c r="AB12" i="17"/>
  <c r="AC12" i="17"/>
  <c r="AD12" i="17"/>
  <c r="AE12" i="17"/>
  <c r="AF12" i="17"/>
  <c r="AG12" i="17"/>
  <c r="AH12" i="17"/>
  <c r="AI12" i="17"/>
  <c r="AJ12" i="17"/>
  <c r="AK12" i="17"/>
  <c r="AL12" i="17"/>
  <c r="AM12" i="17"/>
  <c r="AN12" i="17"/>
  <c r="AO12" i="17"/>
  <c r="P25" i="17"/>
  <c r="Q25" i="17"/>
  <c r="R25" i="17"/>
  <c r="S25" i="17"/>
  <c r="T25" i="17"/>
  <c r="U25" i="17"/>
  <c r="V25" i="17"/>
  <c r="W25" i="17"/>
  <c r="X25" i="17"/>
  <c r="Y25" i="17"/>
  <c r="Z25" i="17"/>
  <c r="AA25" i="17"/>
  <c r="AB25" i="17"/>
  <c r="AC25" i="17"/>
  <c r="AD25" i="17"/>
  <c r="AE25" i="17"/>
  <c r="AF25" i="17"/>
  <c r="AG25" i="17"/>
  <c r="AH25" i="17"/>
  <c r="AI25" i="17"/>
  <c r="AJ25" i="17"/>
  <c r="AK25" i="17"/>
  <c r="AL25" i="17"/>
  <c r="AM25" i="17"/>
  <c r="AN25" i="17"/>
  <c r="AO25" i="17"/>
  <c r="P26" i="17"/>
  <c r="Q26" i="17"/>
  <c r="R26" i="17"/>
  <c r="S26" i="17"/>
  <c r="T26" i="17"/>
  <c r="U26" i="17"/>
  <c r="V26" i="17"/>
  <c r="W26" i="17"/>
  <c r="X26" i="17"/>
  <c r="Y26" i="17"/>
  <c r="Z26" i="17"/>
  <c r="AA26" i="17"/>
  <c r="AB26" i="17"/>
  <c r="AC26" i="17"/>
  <c r="AD26" i="17"/>
  <c r="AE26" i="17"/>
  <c r="AF26" i="17"/>
  <c r="AG26" i="17"/>
  <c r="AH26" i="17"/>
  <c r="AI26" i="17"/>
  <c r="AJ26" i="17"/>
  <c r="AK26" i="17"/>
  <c r="AL26" i="17"/>
  <c r="AM26" i="17"/>
  <c r="AN26" i="17"/>
  <c r="AO26" i="17"/>
  <c r="P27" i="17"/>
  <c r="Q27" i="17"/>
  <c r="R27" i="17"/>
  <c r="S27" i="17"/>
  <c r="T27" i="17"/>
  <c r="U27" i="17"/>
  <c r="V27" i="17"/>
  <c r="W27" i="17"/>
  <c r="X27" i="17"/>
  <c r="Y27" i="17"/>
  <c r="Z27" i="17"/>
  <c r="AA27" i="17"/>
  <c r="AB27" i="17"/>
  <c r="AC27" i="17"/>
  <c r="AD27" i="17"/>
  <c r="AE27" i="17"/>
  <c r="AF27" i="17"/>
  <c r="AG27" i="17"/>
  <c r="AH27" i="17"/>
  <c r="AI27" i="17"/>
  <c r="AJ27" i="17"/>
  <c r="AK27" i="17"/>
  <c r="AL27" i="17"/>
  <c r="AM27" i="17"/>
  <c r="AN27" i="17"/>
  <c r="AO27" i="17"/>
  <c r="AO4" i="17"/>
  <c r="AN4" i="17"/>
  <c r="AM4" i="17"/>
  <c r="AL4" i="17"/>
  <c r="AK4" i="17"/>
  <c r="AJ4" i="17"/>
  <c r="AI4" i="17"/>
  <c r="AH4" i="17"/>
  <c r="AG4" i="17"/>
  <c r="AF4" i="17"/>
  <c r="AE4" i="17"/>
  <c r="AD4" i="17"/>
  <c r="AC4" i="17"/>
  <c r="AB4" i="17"/>
  <c r="AA4" i="17"/>
  <c r="Z4" i="17"/>
  <c r="Y4" i="17"/>
  <c r="X4" i="17"/>
  <c r="W4" i="17"/>
  <c r="V4" i="17"/>
  <c r="U4" i="17"/>
  <c r="T4" i="17"/>
  <c r="S4" i="17"/>
  <c r="R4" i="17"/>
  <c r="Q4" i="17"/>
  <c r="P4" i="17"/>
  <c r="O5" i="17"/>
  <c r="O6" i="17"/>
  <c r="O7" i="17"/>
  <c r="O8" i="17"/>
  <c r="O9" i="17"/>
  <c r="O10" i="17"/>
  <c r="O11" i="17"/>
  <c r="O12" i="17"/>
  <c r="O25" i="17"/>
  <c r="O26" i="17"/>
  <c r="O27" i="17"/>
  <c r="X20" i="3"/>
  <c r="X21" i="3"/>
  <c r="X28" i="3"/>
  <c r="R14" i="6" l="1"/>
  <c r="N15" i="6"/>
  <c r="O18" i="6"/>
  <c r="Q18" i="6"/>
  <c r="R13" i="6"/>
  <c r="N16" i="6"/>
  <c r="R19" i="6"/>
  <c r="Q13" i="6"/>
  <c r="O20" i="6"/>
  <c r="Q19" i="6"/>
  <c r="O17" i="6"/>
  <c r="Q12" i="6"/>
  <c r="R18" i="6"/>
  <c r="O12" i="6"/>
  <c r="R20" i="6"/>
  <c r="R15" i="6"/>
  <c r="N18" i="6"/>
  <c r="Q14" i="6"/>
  <c r="Q16" i="6"/>
  <c r="N19" i="6"/>
  <c r="O15" i="6"/>
  <c r="Q20" i="6"/>
  <c r="N13" i="6"/>
  <c r="Q15" i="6"/>
  <c r="Q17" i="6"/>
  <c r="O13" i="6"/>
  <c r="N17" i="6"/>
  <c r="N14" i="6"/>
  <c r="R16" i="6"/>
  <c r="O19" i="6"/>
  <c r="R12" i="6"/>
  <c r="G20" i="4"/>
  <c r="I20" i="4"/>
  <c r="J20" i="4"/>
  <c r="H20" i="4"/>
  <c r="E20" i="4" l="1"/>
  <c r="C20" i="4"/>
  <c r="F20" i="4"/>
  <c r="D20" i="4"/>
  <c r="D8" i="12" l="1"/>
  <c r="B28" i="4" l="1"/>
  <c r="B27" i="4"/>
  <c r="B26" i="4"/>
  <c r="B25" i="4"/>
  <c r="B24" i="4"/>
  <c r="B23" i="4"/>
  <c r="B22" i="4"/>
  <c r="G26" i="4" l="1"/>
  <c r="J26" i="4"/>
  <c r="H26" i="4"/>
  <c r="I26" i="4"/>
  <c r="G27" i="4"/>
  <c r="J27" i="4"/>
  <c r="H27" i="4"/>
  <c r="I27" i="4"/>
  <c r="J24" i="4"/>
  <c r="H24" i="4"/>
  <c r="I24" i="4"/>
  <c r="G24" i="4"/>
  <c r="I23" i="4"/>
  <c r="J23" i="4"/>
  <c r="G23" i="4"/>
  <c r="H23" i="4"/>
  <c r="G25" i="4"/>
  <c r="J25" i="4"/>
  <c r="H25" i="4"/>
  <c r="I25" i="4"/>
  <c r="H22" i="4"/>
  <c r="D22" i="4"/>
  <c r="F22" i="4"/>
  <c r="G22" i="4"/>
  <c r="J22" i="4"/>
  <c r="I22" i="4"/>
  <c r="G28" i="4"/>
  <c r="J28" i="4"/>
  <c r="H28" i="4"/>
  <c r="I28" i="4"/>
  <c r="C23" i="4"/>
  <c r="D23" i="4"/>
  <c r="C24" i="4"/>
  <c r="D24" i="4"/>
  <c r="D25" i="4"/>
  <c r="C25" i="4"/>
  <c r="D26" i="4"/>
  <c r="C26" i="4"/>
  <c r="D27" i="4"/>
  <c r="C27" i="4"/>
  <c r="D28" i="4"/>
  <c r="C28" i="4"/>
  <c r="C22" i="4"/>
  <c r="B21" i="4"/>
  <c r="F27" i="4"/>
  <c r="F25" i="4"/>
  <c r="E28" i="4"/>
  <c r="E25" i="4"/>
  <c r="E26" i="4"/>
  <c r="E24" i="4"/>
  <c r="F24" i="4"/>
  <c r="F23" i="4"/>
  <c r="E23" i="4"/>
  <c r="F26" i="4"/>
  <c r="E22" i="4"/>
  <c r="E27" i="4"/>
  <c r="F28" i="4"/>
  <c r="C4" i="4"/>
  <c r="C16" i="4"/>
  <c r="C14" i="4"/>
  <c r="C12" i="4"/>
  <c r="C6" i="4"/>
  <c r="C8" i="6"/>
  <c r="E21" i="4" l="1"/>
  <c r="C21" i="4"/>
  <c r="G21" i="4"/>
  <c r="J21" i="4"/>
  <c r="I21" i="4"/>
  <c r="H21" i="4"/>
  <c r="D21" i="4"/>
  <c r="F21" i="4"/>
  <c r="F20" i="18" l="1" a="1"/>
  <c r="H20" i="18" a="1"/>
  <c r="I20" i="18" a="1"/>
  <c r="G20" i="18" a="1"/>
  <c r="B20" i="18" a="1"/>
  <c r="B20" i="18" s="1"/>
  <c r="C20" i="18" a="1"/>
  <c r="C20" i="18" s="1"/>
  <c r="D20" i="18" a="1"/>
  <c r="D20" i="18" s="1"/>
  <c r="E20" i="18" a="1"/>
  <c r="E20" i="18" s="1"/>
  <c r="I20" i="18"/>
  <c r="H20" i="18"/>
  <c r="G20" i="18"/>
  <c r="F20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 Rosenfeld</author>
    <author>Francisco Jose Ferreira Gomes</author>
  </authors>
  <commentList>
    <comment ref="F11" authorId="0" shapeId="0" xr:uid="{769AF148-08C4-4545-AFBF-A6FA1A23FB83}">
      <text>
        <r>
          <rPr>
            <sz val="9"/>
            <color indexed="81"/>
            <rFont val="Segoe UI"/>
            <family val="2"/>
          </rPr>
          <t>Considerar que todos os controles falharam para calcular a probabilidade inerente</t>
        </r>
      </text>
    </comment>
    <comment ref="H11" authorId="1" shapeId="0" xr:uid="{07787705-E8F8-48EA-A511-8F346369D6AF}">
      <text>
        <r>
          <rPr>
            <b/>
            <sz val="9"/>
            <color indexed="81"/>
            <rFont val="Segoe UI"/>
            <family val="2"/>
          </rPr>
          <t>Francisco Jose Ferreira Gomes:</t>
        </r>
        <r>
          <rPr>
            <sz val="9"/>
            <color indexed="81"/>
            <rFont val="Segoe UI"/>
            <family val="2"/>
          </rPr>
          <t xml:space="preserve">
Refere-se à magnitude dos efeitos adversos para o alcance dos objetivos, resultantes da ocorrência do evento de risco.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<sst xmlns="http://schemas.openxmlformats.org/spreadsheetml/2006/main" count="714" uniqueCount="484">
  <si>
    <t>Entendimento Preliminar</t>
  </si>
  <si>
    <t>Unidade auditada:</t>
  </si>
  <si>
    <t>Coordenador:</t>
  </si>
  <si>
    <t>Equipe de Auditoria:</t>
  </si>
  <si>
    <t>Elaborado por:</t>
  </si>
  <si>
    <t>Data:</t>
  </si>
  <si>
    <t>Revisado por:</t>
  </si>
  <si>
    <t>Objeto da Auditoria</t>
  </si>
  <si>
    <t>Objetivo 1</t>
  </si>
  <si>
    <t>Objetivo 2</t>
  </si>
  <si>
    <t>Objetivo 3</t>
  </si>
  <si>
    <t>Objetivo 4</t>
  </si>
  <si>
    <t>Fluxo Descritivo
Mapeamento do Processo</t>
  </si>
  <si>
    <t>Normativas Aplicáveis ao Processo</t>
  </si>
  <si>
    <t>Inserir as políticas, as normas, os procedimentos e os demais regulamentos aplicáveis ao processo de negócio sob análise.</t>
  </si>
  <si>
    <t>Questão Geral de Auditoria</t>
  </si>
  <si>
    <t>Identificação e Análise de Riscos</t>
  </si>
  <si>
    <t>Objetivo</t>
  </si>
  <si>
    <t>Risco</t>
  </si>
  <si>
    <t>Fonte do Risco</t>
  </si>
  <si>
    <t>Possíveis Causas</t>
  </si>
  <si>
    <t>Possíveis Consequências</t>
  </si>
  <si>
    <t>Cs 1.1 -</t>
  </si>
  <si>
    <t>Cs 1.2 -</t>
  </si>
  <si>
    <t>Cs 1.3 -</t>
  </si>
  <si>
    <t>Cs 2.1 -</t>
  </si>
  <si>
    <t>Cs 2.2 -</t>
  </si>
  <si>
    <t>Cs 2.3 -</t>
  </si>
  <si>
    <t xml:space="preserve">R3 - </t>
  </si>
  <si>
    <t xml:space="preserve">Cs 3.1 - </t>
  </si>
  <si>
    <t xml:space="preserve">Cs 3.2 - </t>
  </si>
  <si>
    <t xml:space="preserve">Cs 3.3 - </t>
  </si>
  <si>
    <t xml:space="preserve">Cq 3.3 - </t>
  </si>
  <si>
    <t>R4 -</t>
  </si>
  <si>
    <t>Cs 4.1 -</t>
  </si>
  <si>
    <t>Cq 4.1 -</t>
  </si>
  <si>
    <t>Cs 4.2 -</t>
  </si>
  <si>
    <t>Cq 4.2 -</t>
  </si>
  <si>
    <t>Cs 4.3 -</t>
  </si>
  <si>
    <t>Cq 4.3 -</t>
  </si>
  <si>
    <t>R5 -</t>
  </si>
  <si>
    <t>Cs 5.1 -</t>
  </si>
  <si>
    <t>Cq 5.1 -</t>
  </si>
  <si>
    <t>Cs 5.2 -</t>
  </si>
  <si>
    <t>Cq 5.2 -</t>
  </si>
  <si>
    <t>Cs 5.3 -</t>
  </si>
  <si>
    <t>Cq 5.3 -</t>
  </si>
  <si>
    <t>R6 -</t>
  </si>
  <si>
    <t xml:space="preserve">Cs 6.1 - </t>
  </si>
  <si>
    <t xml:space="preserve">Cq 6.1 - </t>
  </si>
  <si>
    <t xml:space="preserve">Cs 6.2 - </t>
  </si>
  <si>
    <t xml:space="preserve">Cq 6.2 - </t>
  </si>
  <si>
    <t xml:space="preserve">Cs 6.3 - </t>
  </si>
  <si>
    <t xml:space="preserve">Cq 6.3 - </t>
  </si>
  <si>
    <t>R7 -</t>
  </si>
  <si>
    <t>Cs 7.1 -</t>
  </si>
  <si>
    <t>Cq 7.1 -</t>
  </si>
  <si>
    <t>Cs 7.2 -</t>
  </si>
  <si>
    <t>Cq 7.2 -</t>
  </si>
  <si>
    <t>Cs 7.3 -</t>
  </si>
  <si>
    <t>Cq 7.3 -</t>
  </si>
  <si>
    <t>R8 -</t>
  </si>
  <si>
    <t>Cs 8.1 -</t>
  </si>
  <si>
    <t>Cq 8.1 -</t>
  </si>
  <si>
    <t>Cs 8.2 -</t>
  </si>
  <si>
    <t>Cq 8.2 -</t>
  </si>
  <si>
    <t>Cs 8.3 -</t>
  </si>
  <si>
    <t>Cq 8.3 -</t>
  </si>
  <si>
    <t>R9 -</t>
  </si>
  <si>
    <t xml:space="preserve">Cs 9.1 - </t>
  </si>
  <si>
    <t xml:space="preserve">Cq 9.1 - </t>
  </si>
  <si>
    <t xml:space="preserve">Cs 9.2 - </t>
  </si>
  <si>
    <t xml:space="preserve">Cq 9.2 - </t>
  </si>
  <si>
    <t xml:space="preserve">Cs 9.3 - </t>
  </si>
  <si>
    <t xml:space="preserve">Cq 9.3 - </t>
  </si>
  <si>
    <t>Matriz de Riscos e Controles</t>
  </si>
  <si>
    <t>Identificação dos Riscos</t>
  </si>
  <si>
    <t>Avaliação do Risco Inerente</t>
  </si>
  <si>
    <t>Avaliação Preliminar do Risco de Controle</t>
  </si>
  <si>
    <t>Definição de Escopo</t>
  </si>
  <si>
    <t>Escopo</t>
  </si>
  <si>
    <t>Referência do Risco</t>
  </si>
  <si>
    <t>Probabilidade</t>
  </si>
  <si>
    <t>Probabilidade (P)</t>
  </si>
  <si>
    <t>Impacto</t>
  </si>
  <si>
    <t>Impacto (I)</t>
  </si>
  <si>
    <t>Índice Inerente (P x I)</t>
  </si>
  <si>
    <t>Classificação do Risco Inerente</t>
  </si>
  <si>
    <t>Controles-Chave</t>
  </si>
  <si>
    <t>Avaliação Preliminar do Controle (Teste de Desenho)</t>
  </si>
  <si>
    <t>Situação do Controle</t>
  </si>
  <si>
    <t>Classificação do Risco Residual 
(Após Teste de Desenho)</t>
  </si>
  <si>
    <t>Síntese da Avaliação Preliminar</t>
  </si>
  <si>
    <t>Comentários Sobre a Avaliação Preliminar</t>
  </si>
  <si>
    <t>Teste Recomendado</t>
  </si>
  <si>
    <t>Prioridade</t>
  </si>
  <si>
    <t>Não será avaliado.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</si>
  <si>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</si>
  <si>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</si>
  <si>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</si>
  <si>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</si>
  <si>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</si>
  <si>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</si>
  <si>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</si>
  <si>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</si>
  <si>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</si>
  <si>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 xml:space="preserve">  </t>
  </si>
  <si>
    <t>IMPACTO</t>
  </si>
  <si>
    <t>Crítico</t>
  </si>
  <si>
    <t>Alto</t>
  </si>
  <si>
    <t>Moderado</t>
  </si>
  <si>
    <t>Baixo</t>
  </si>
  <si>
    <t>Irrelevante</t>
  </si>
  <si>
    <t>Raro</t>
  </si>
  <si>
    <t>Improvável</t>
  </si>
  <si>
    <t>Possível</t>
  </si>
  <si>
    <t>Provável</t>
  </si>
  <si>
    <t>Esperado</t>
  </si>
  <si>
    <t>PROBABILIDADE</t>
  </si>
  <si>
    <t>Matriz de Planejamento</t>
  </si>
  <si>
    <t>Programa de Trabalho</t>
  </si>
  <si>
    <t>Subquestão de Auditoria</t>
  </si>
  <si>
    <t>Critério</t>
  </si>
  <si>
    <t>Procedimentos de Auditoria</t>
  </si>
  <si>
    <t>Matriz de Achados</t>
  </si>
  <si>
    <t>Entidade auditada:</t>
  </si>
  <si>
    <t>Base de auditoria:</t>
  </si>
  <si>
    <t>Questão de Auditoria</t>
  </si>
  <si>
    <t>Causa (s)</t>
  </si>
  <si>
    <t>Consequência (s)</t>
  </si>
  <si>
    <t>Subquestão</t>
  </si>
  <si>
    <t>Critério (s)</t>
  </si>
  <si>
    <t>Situação Encontrada</t>
  </si>
  <si>
    <t>Conclusão Final</t>
  </si>
  <si>
    <t>Recomendação</t>
  </si>
  <si>
    <t>Benefìcio Esperado</t>
  </si>
  <si>
    <t>Observações do Revisor</t>
  </si>
  <si>
    <t>Insatisfatório</t>
  </si>
  <si>
    <t>Coordenadores</t>
  </si>
  <si>
    <t>Auditores</t>
  </si>
  <si>
    <t>Conclusão da avaliação</t>
  </si>
  <si>
    <t>Status da Execução</t>
  </si>
  <si>
    <t>Alexandre Silva de Castro</t>
  </si>
  <si>
    <t>Alécio José Vargas</t>
  </si>
  <si>
    <t>Satisfatório</t>
  </si>
  <si>
    <t>Não Iniciado</t>
  </si>
  <si>
    <t>Fernanda Mallmann</t>
  </si>
  <si>
    <t>Em execução</t>
  </si>
  <si>
    <t>Banco do Estado do Rio Grande do Sul S.A. - BANRISUL</t>
  </si>
  <si>
    <t>Francisco Estevanes Peres</t>
  </si>
  <si>
    <t>Catherine Kaori Makiyama</t>
  </si>
  <si>
    <t>Concluído</t>
  </si>
  <si>
    <t>Guilherme Pinto de Lima</t>
  </si>
  <si>
    <t>Cleber Ferreira de Lima</t>
  </si>
  <si>
    <t>Luis André Cabral de Carvalho</t>
  </si>
  <si>
    <t>Diego de Souza Mendonça</t>
  </si>
  <si>
    <t>Luis Felipe Pacheco</t>
  </si>
  <si>
    <t>Dione Silva Santos</t>
  </si>
  <si>
    <t>Paulo Roberto Nunes Ferreira</t>
  </si>
  <si>
    <t>Caixa de Administração da Dívida Pública Estadual S.A. - CADIP</t>
  </si>
  <si>
    <t>Rafael Rosenfeld</t>
  </si>
  <si>
    <t>Renata Bartzen Pereira</t>
  </si>
  <si>
    <t>Francisco Gomes</t>
  </si>
  <si>
    <t>Companhia Operadora de Mineração - COM</t>
  </si>
  <si>
    <t>Rodrigo Moreira Machado</t>
  </si>
  <si>
    <t>Gabriela Marin Konzen Balbinot</t>
  </si>
  <si>
    <t>Jorge Luis Letner dos Santos</t>
  </si>
  <si>
    <t>Juan Marcelo Schenkel Rivera</t>
  </si>
  <si>
    <t>Lorenzo Giacomo Venzon</t>
  </si>
  <si>
    <t>Maurício Ramos Araújo Martins</t>
  </si>
  <si>
    <t>Fundação de Proteção Especial do Rio Grande do Sul - FPERGS</t>
  </si>
  <si>
    <t>Fundação Escola Técnica Liberato Salzano Vieira da Cunha - FETLSVC</t>
  </si>
  <si>
    <t>Pedro Henrique Santese Silva</t>
  </si>
  <si>
    <t>Fundação Estadual de Proteção Ambiental Henrique Luís Roessler - FEPAM</t>
  </si>
  <si>
    <t>Fundação Gaúcha do Trabalho e Ação Social - FGTAS</t>
  </si>
  <si>
    <t>Fundação Orquestra Sinfônica de Porto Alegre - FOSPA</t>
  </si>
  <si>
    <t>Instituto de Previdência do Estado do Rio Grande do Sul - IPE Prev</t>
  </si>
  <si>
    <t xml:space="preserve">Impacto </t>
  </si>
  <si>
    <t>Nível de Risco Inerente (RI)</t>
  </si>
  <si>
    <t>Nível de Confiança no Controle (RC)</t>
  </si>
  <si>
    <t>Nível de Risco Residual (RR)</t>
  </si>
  <si>
    <t>Quadro auxiliar para definição dos Tipos de Testes</t>
  </si>
  <si>
    <t>Classificação</t>
  </si>
  <si>
    <t>Descrição</t>
  </si>
  <si>
    <t>Pontuação</t>
  </si>
  <si>
    <t>Avaliação Preliminar</t>
  </si>
  <si>
    <t>Funcionamento</t>
  </si>
  <si>
    <t>Teste recomendado</t>
  </si>
  <si>
    <t>Risco inerente</t>
  </si>
  <si>
    <t>Avaliação preliminar do Controle</t>
  </si>
  <si>
    <t>Risco Residual</t>
  </si>
  <si>
    <t>Comentário</t>
  </si>
  <si>
    <t>Tipo de Teste</t>
  </si>
  <si>
    <t>Excepcionalmente poderá até ocorrer, porém não há elementos ou informações que indiquem essa possibilidade.</t>
  </si>
  <si>
    <r>
      <t xml:space="preserve">Degradação de operações ou atividades de processos, projetos ou programas da organização, porém causando </t>
    </r>
    <r>
      <rPr>
        <b/>
        <sz val="9"/>
        <color theme="1"/>
        <rFont val="Calibri"/>
        <family val="2"/>
        <scheme val="minor"/>
      </rPr>
      <t>impactos mínimos nos objetivos</t>
    </r>
    <r>
      <rPr>
        <sz val="9"/>
        <color theme="1"/>
        <rFont val="Calibri"/>
        <family val="2"/>
        <scheme val="minor"/>
      </rPr>
      <t xml:space="preserve"> de prazo, custo, qualidade, escopo, imagem ou relacionados ao atendimento de metas, padrões ou à capacidade de entrega de produtos/serviços às partes interessadas (clientes internos/externos, beneficiários).</t>
    </r>
  </si>
  <si>
    <t>Forte</t>
  </si>
  <si>
    <t>Efetivo</t>
  </si>
  <si>
    <t>O controle funciona adequadamente. Controle institucionalizado e sustentado por ferramentas adequadas, podendo ser considerado em um nível de "melhor prática"; mitiga o risco em todos os aspectos relevantes.</t>
  </si>
  <si>
    <t>Testes de controle</t>
  </si>
  <si>
    <t>Insignificante</t>
  </si>
  <si>
    <r>
      <t xml:space="preserve">Considerando o </t>
    </r>
    <r>
      <rPr>
        <u/>
        <sz val="9"/>
        <color theme="1"/>
        <rFont val="Calibri"/>
        <family val="2"/>
        <scheme val="minor"/>
      </rPr>
      <t>princípio da eficiência</t>
    </r>
    <r>
      <rPr>
        <sz val="9"/>
        <color theme="1"/>
        <rFont val="Calibri"/>
        <family val="2"/>
        <scheme val="minor"/>
      </rPr>
      <t xml:space="preserve"> e a </t>
    </r>
    <r>
      <rPr>
        <u/>
        <sz val="9"/>
        <color theme="1"/>
        <rFont val="Calibri"/>
        <family val="2"/>
        <scheme val="minor"/>
      </rPr>
      <t>relação custo-benefício</t>
    </r>
    <r>
      <rPr>
        <sz val="9"/>
        <color theme="1"/>
        <rFont val="Calibri"/>
        <family val="2"/>
        <scheme val="minor"/>
      </rPr>
      <t>, não é justificável trabalhar estes riscos.</t>
    </r>
  </si>
  <si>
    <t>Realizar testes apenas se o auditor julgar necessário</t>
  </si>
  <si>
    <t>Mínima</t>
  </si>
  <si>
    <t>O evento poderá ocorrer de forma inesperada, havendo poucos elementos ou informações que indicam essa possibilidade, ou repete-se com baixa frequência anual.</t>
  </si>
  <si>
    <r>
      <t xml:space="preserve">Degradação de operações ou atividades de processos, projetos ou programas da organização, causando </t>
    </r>
    <r>
      <rPr>
        <b/>
        <sz val="9"/>
        <color theme="1"/>
        <rFont val="Calibri"/>
        <family val="2"/>
        <scheme val="minor"/>
      </rPr>
      <t>impactos pequenos nos objetivos</t>
    </r>
    <r>
      <rPr>
        <sz val="9"/>
        <color theme="1"/>
        <rFont val="Calibri"/>
        <family val="2"/>
        <scheme val="minor"/>
      </rPr>
      <t xml:space="preserve">. </t>
    </r>
  </si>
  <si>
    <t>Necessita de pequenas melhorias</t>
  </si>
  <si>
    <t>O controle apresenta pequenas inconsistências. Controle institucionalizado e embora passível de aperfeiçoamento, é sustentado por ferramentas adequadas e mitiga o risco razoavelmente.</t>
  </si>
  <si>
    <t>Há elementos e/ou informações que indicam moderadamente essa possibilidade, ou repete-se com razoável frequência anual</t>
  </si>
  <si>
    <r>
      <t>Interrupção de operações ou atividades de processos, projetos ou programas, causando</t>
    </r>
    <r>
      <rPr>
        <b/>
        <sz val="9"/>
        <color theme="1"/>
        <rFont val="Calibri"/>
        <family val="2"/>
        <scheme val="minor"/>
      </rPr>
      <t xml:space="preserve"> impactos significativos nos objetivos</t>
    </r>
    <r>
      <rPr>
        <sz val="9"/>
        <color theme="1"/>
        <rFont val="Calibri"/>
        <family val="2"/>
        <scheme val="minor"/>
      </rPr>
      <t xml:space="preserve">, </t>
    </r>
    <r>
      <rPr>
        <b/>
        <sz val="9"/>
        <color theme="1"/>
        <rFont val="Calibri"/>
        <family val="2"/>
        <scheme val="minor"/>
      </rPr>
      <t>porém recuperáveis</t>
    </r>
    <r>
      <rPr>
        <sz val="9"/>
        <color theme="1"/>
        <rFont val="Calibri"/>
        <family val="2"/>
        <scheme val="minor"/>
      </rPr>
      <t>.</t>
    </r>
  </si>
  <si>
    <t>Mediano</t>
  </si>
  <si>
    <t>Necessita de grandes melhorias</t>
  </si>
  <si>
    <t>O controle apresenta inconsistências. Controle razoavelmente institucionalizado, mas pode falhar por não contemplar todos os aspectos relevantes do risco ou porque seu desenho ou as ferramentas que o suportam não são adequados.</t>
  </si>
  <si>
    <t>Testes substantivos/Testes de Controles</t>
  </si>
  <si>
    <t>É esperado que o evento ocorra, pois os elementos e as informações disponíveis indicam de forma consistente essa possibilidade, ou repete-se com elevada frequência anual.</t>
  </si>
  <si>
    <r>
      <t>Interrupção de operações ou atividades de processos, projetos ou programas da organização, causando</t>
    </r>
    <r>
      <rPr>
        <b/>
        <sz val="9"/>
        <color theme="1"/>
        <rFont val="Calibri"/>
        <family val="2"/>
        <scheme val="minor"/>
      </rPr>
      <t xml:space="preserve"> impactos de reversão muito difícil nos objetivos</t>
    </r>
    <r>
      <rPr>
        <sz val="9"/>
        <color theme="1"/>
        <rFont val="Calibri"/>
        <family val="2"/>
        <scheme val="minor"/>
      </rPr>
      <t>.</t>
    </r>
  </si>
  <si>
    <t>Fraco</t>
  </si>
  <si>
    <t>Necessita ser redesenhado</t>
  </si>
  <si>
    <t>O controle apresenta grandes inconsistências. Controle não institucionalizado; está na esfera de conhecimento pessoal dos operadores do processo; em geral realizado de maneira manual.</t>
  </si>
  <si>
    <t>Testes substantivos</t>
  </si>
  <si>
    <t>Inequivocamente o evento ocorrerá, pois os elementos e informações disponíveis indicam claramente essa possibilidade</t>
  </si>
  <si>
    <r>
      <t>Paralisação de operações ou atividades de processos, projetos ou programas da organização, causando</t>
    </r>
    <r>
      <rPr>
        <b/>
        <sz val="9"/>
        <color theme="1"/>
        <rFont val="Calibri"/>
        <family val="2"/>
        <scheme val="minor"/>
      </rPr>
      <t xml:space="preserve"> impactos irreversíveis/catastróficos nos objetivos</t>
    </r>
    <r>
      <rPr>
        <sz val="9"/>
        <color theme="1"/>
        <rFont val="Calibri"/>
        <family val="2"/>
        <scheme val="minor"/>
      </rPr>
      <t>.</t>
    </r>
  </si>
  <si>
    <t>Inexistente</t>
  </si>
  <si>
    <t>Necessário desenvolver</t>
  </si>
  <si>
    <t>Controle não existe, não funciona ou não está implementado.</t>
  </si>
  <si>
    <t>Fonte: Brasil. Tribunal de Contas da União. Roteiro de Auditoria de Gestão de Riscos.</t>
  </si>
  <si>
    <r>
      <t xml:space="preserve">* Não há </t>
    </r>
    <r>
      <rPr>
        <u/>
        <sz val="8"/>
        <color theme="1"/>
        <rFont val="Calibri"/>
        <family val="2"/>
        <scheme val="minor"/>
      </rPr>
      <t>controle</t>
    </r>
    <r>
      <rPr>
        <sz val="8"/>
        <color theme="1"/>
        <rFont val="Calibri"/>
        <family val="2"/>
        <scheme val="minor"/>
      </rPr>
      <t xml:space="preserve"> perfeito. Todos têm limitações que impedem que NC seja igual a 1 (um). Por isto, não há RC &lt; 0,20. Limitações do controle: relação custo-benefício; burla pela administração; conluio; erros de julgamento; falha humana (causada por fadiga, doença...); eventos externos.</t>
    </r>
  </si>
  <si>
    <r>
      <t xml:space="preserve">Considerando o </t>
    </r>
    <r>
      <rPr>
        <u/>
        <sz val="9"/>
        <color theme="1"/>
        <rFont val="Calibri"/>
        <family val="2"/>
        <scheme val="minor"/>
      </rPr>
      <t>princípio da eficiência</t>
    </r>
    <r>
      <rPr>
        <sz val="9"/>
        <color theme="1"/>
        <rFont val="Calibri"/>
        <family val="2"/>
        <scheme val="minor"/>
      </rPr>
      <t xml:space="preserve"> e a </t>
    </r>
    <r>
      <rPr>
        <u/>
        <sz val="9"/>
        <color theme="1"/>
        <rFont val="Calibri"/>
        <family val="2"/>
        <scheme val="minor"/>
      </rPr>
      <t>relação custo-benefício</t>
    </r>
    <r>
      <rPr>
        <sz val="9"/>
        <color theme="1"/>
        <rFont val="Calibri"/>
        <family val="2"/>
        <scheme val="minor"/>
      </rPr>
      <t>, não seria necessário trabalhar estes riscos, por serem baixos. Entretanto, eles poderão ser testados a depender da avaliação do auditor.</t>
    </r>
  </si>
  <si>
    <t>Muito baixa</t>
  </si>
  <si>
    <t>Brasília: TCU, Secretaria de Métodos e Suporte ao Controle Externo, 2017. (adaptada)</t>
  </si>
  <si>
    <t>Médio</t>
  </si>
  <si>
    <t>Controle inexiste. O exame poderá ser feito para confirmar consequências adversas da ausência do controle.</t>
  </si>
  <si>
    <t>Alta</t>
  </si>
  <si>
    <t>Baixo/Médio</t>
  </si>
  <si>
    <t>Controle foi considerado inadequado. O exame poderá ser feito para confirmar consequências adversas da inadequação.</t>
  </si>
  <si>
    <t>+Testes substantivos</t>
  </si>
  <si>
    <t>Alta, dependerá do nível dos riscos que o controle pretende mitigar</t>
  </si>
  <si>
    <t>Sua aplicação/efetividade pode ser testada, para verificar seu desempenho em relação aos objetivos pretendidos, ao mesmo tempo em que é preciso confirmar as consequências adversas de seu funcionamento não ser o ideal.</t>
  </si>
  <si>
    <t>Controle foi considerado adequado na avaliação preliminar, mas sua aplicação/efetividade precisa ser testada, para verificar se está atingindo os objetivos pretendidos.</t>
  </si>
  <si>
    <t>Baixa</t>
  </si>
  <si>
    <t>Controle foi considerado forte na avaliação preliminar, mas sua aplicação/efetividade precisa ser testada, para verificar se está atingindo os objetivos pretendidos.</t>
  </si>
  <si>
    <t>Controle inexiste. O exame poderá ser feito para confirmar consequências adversas da inadequação ou ausência do controle.</t>
  </si>
  <si>
    <t>Muito alta</t>
  </si>
  <si>
    <t>Médio/Alto</t>
  </si>
  <si>
    <t>Sua aplicação/efetividade pode ser testada, para verificar seu desempenho em relação aos objetivos pretendidos, ao mesmo tempo em que é preciso confirmar as consequencias adversas de seu funcionamento não ser o ideal.</t>
  </si>
  <si>
    <t>Extremo</t>
  </si>
  <si>
    <t>Alto/Extremo</t>
  </si>
  <si>
    <t>ORIENTAÇÕES</t>
  </si>
  <si>
    <t>É a informação, condição ou atividade que é mensurada ou avaliada de acordo com critérios definidos. Entende-se que o Objeto de Auditoria é apropriado quando é identificável, passível de avaliação ou mensuração consistente, apto a produzir evidência suficiente e adequada para fundamentar a opinião ou conclusão de auditoria.</t>
  </si>
  <si>
    <t>Objetivo do Objeto da Auditoria</t>
  </si>
  <si>
    <t>Identificar o objetivo do processo de negócio objeto de avaliação.</t>
  </si>
  <si>
    <t>Fluxo Descritivo - Mapeamento do Processo</t>
  </si>
  <si>
    <t>Identificar a representação de um processo de trabalho por meio de um diagrama contendo a sequência dos passos necessários à consecução de determinada atividade.</t>
  </si>
  <si>
    <t>Elemento que define o objetivo da auditoria e constitui a base da estrutura das análises que permitirão chegar à conclusão sobre os controles.</t>
  </si>
  <si>
    <t>Relacionar as Fontes do Risco.</t>
  </si>
  <si>
    <t>Consistem nas situações que dão origem aos riscos, podendo ser descritas por meio da conjugação de possíveis fontes e de vulnerabilidades a elas associadas.</t>
  </si>
  <si>
    <t>Consistem nos resultados da materialização dos riscos que afetam os objetivos.</t>
  </si>
  <si>
    <t>Avaliar o impacto do risco com base nos critérios sugeridos na aba "Tabelas".</t>
  </si>
  <si>
    <t xml:space="preserve">Risco a que uma organização está exposta sem considerar quaisquer ações gerenciais que possam reduzir a probbilidade de sua ocorrência ou seu impacto. </t>
  </si>
  <si>
    <t>Risco que permanece após a resposta da administração. É resultado da multiplicação RI x RC.</t>
  </si>
  <si>
    <t>Tipos de testes de auditoria que serão necessários, com base na avaliação dos controles.</t>
  </si>
  <si>
    <t>Conclusão do auditor</t>
  </si>
  <si>
    <t>Conclusão do auditor sobre os riscos a serem priorizados e os tipos de testes a serem aplicados.</t>
  </si>
  <si>
    <t>Avaliação dos controles desenhados para o respectivo risco (consultar a respectiva escala na aba "Tabelas")</t>
  </si>
  <si>
    <t>Parâmetro de referência esperado para funcionamento do controle.</t>
  </si>
  <si>
    <t>Representam o detalhamento das questões de auditoria e, nesse sentido, devem, ao mesmo tempo, ser mutuamente exclusivas (ausência de sobreposições) e se completar coletivamente (prover resposta global à respectiva questão de auditoria).</t>
  </si>
  <si>
    <t>Narrativa da condição identificada para o controle com base nos testes aplicados pela equipe de auditoria.</t>
  </si>
  <si>
    <t>QUADRO DE VULNERABILIDADES</t>
  </si>
  <si>
    <t>Fontes Internas</t>
  </si>
  <si>
    <t>Fontes Externas</t>
  </si>
  <si>
    <t>Eventos</t>
  </si>
  <si>
    <t>Pessoas</t>
  </si>
  <si>
    <t>Processos</t>
  </si>
  <si>
    <t>Sistemas</t>
  </si>
  <si>
    <t>Infraestrutura Física</t>
  </si>
  <si>
    <t>Tecnologia</t>
  </si>
  <si>
    <t>Governança</t>
  </si>
  <si>
    <t>Planejamento</t>
  </si>
  <si>
    <t>Ambientais</t>
  </si>
  <si>
    <t>Econômicas</t>
  </si>
  <si>
    <t>Legais/jurídicas</t>
  </si>
  <si>
    <t>Alta rotatividade</t>
  </si>
  <si>
    <t xml:space="preserve">Deficiência em gerenciamento de contrato </t>
  </si>
  <si>
    <t>Baixo grau de automação</t>
  </si>
  <si>
    <t>Falha no controle de acesso físico</t>
  </si>
  <si>
    <t>Controles insuficientes sobre a transferência de dados.</t>
  </si>
  <si>
    <t>Centralização ou descentralização excessiva de responsabilidades</t>
  </si>
  <si>
    <t>Ausência de planejamento</t>
  </si>
  <si>
    <t>Epidemia</t>
  </si>
  <si>
    <t>Contingenciamento</t>
  </si>
  <si>
    <t>Ações judiciais</t>
  </si>
  <si>
    <t>Descumprimento de norma interna</t>
  </si>
  <si>
    <t>Falha na concepção do processo (Falha de Desenho do Processo)</t>
  </si>
  <si>
    <t>Falha nos procedimentos de teste ou homologação de sistemas</t>
  </si>
  <si>
    <t>Falha ou deficiência na localização da infraestrutura</t>
  </si>
  <si>
    <t>Falha ou deficiência nos dispositivos de backup</t>
  </si>
  <si>
    <t>Competências e responsabilidades não identificadas ou desrespeitadas</t>
  </si>
  <si>
    <t>Planejamento elaborado sem embasamento técnico</t>
  </si>
  <si>
    <t xml:space="preserve">Incêndio </t>
  </si>
  <si>
    <t>Crise de credibilidade</t>
  </si>
  <si>
    <t>Alterações na jurisprudência de tribunais</t>
  </si>
  <si>
    <t>Descumprimento de norma legal</t>
  </si>
  <si>
    <t>Falha na gestão e fiscalização de contratos e convênios</t>
  </si>
  <si>
    <t xml:space="preserve">Falta ou ineficiência de sistema informatizado operacional ou de controle </t>
  </si>
  <si>
    <t>Falha ou deficiência nas instalações</t>
  </si>
  <si>
    <t>Falta de investimento em TI</t>
  </si>
  <si>
    <t>Planejamento em desacordo com a realidade</t>
  </si>
  <si>
    <t>Inundação</t>
  </si>
  <si>
    <t>Elevação ou redução da carga tributária</t>
  </si>
  <si>
    <t>Novas leis e normas reguladoras</t>
  </si>
  <si>
    <t>Desmotivadas</t>
  </si>
  <si>
    <t>Falha nos processos de avaliação de proponentes</t>
  </si>
  <si>
    <t>Inexistência de controles de acesso lógico/backups</t>
  </si>
  <si>
    <t>Inexistência de controles de acesso físico.</t>
  </si>
  <si>
    <t>Falta ou falha de integração entre sistemas</t>
  </si>
  <si>
    <t>Deficiência na estrutura de controles internos</t>
  </si>
  <si>
    <t>Planejamento em desacordo com as normas vigentes</t>
  </si>
  <si>
    <t>Mudança climática brusca</t>
  </si>
  <si>
    <t>Oscilações de juros, de câmbio e de preços</t>
  </si>
  <si>
    <t>Novos regulamentos</t>
  </si>
  <si>
    <t>Desvios éticos</t>
  </si>
  <si>
    <t>Falha operacional / Erro de execução</t>
  </si>
  <si>
    <t>Obsoletos</t>
  </si>
  <si>
    <t>Instalações ou leiaute inadequados</t>
  </si>
  <si>
    <t>Processo produtivo sem proteção contra espionagem</t>
  </si>
  <si>
    <t>Deficiência nos fluxos de informação e comunicação</t>
  </si>
  <si>
    <t>Planejamentocom objetivos e estratégias inadequados</t>
  </si>
  <si>
    <t>Queda de arrecadação</t>
  </si>
  <si>
    <t>Falha intencional</t>
  </si>
  <si>
    <t>Falta de aprovação ou homologação competente</t>
  </si>
  <si>
    <t>Sem integração com outros sistemas</t>
  </si>
  <si>
    <t>Técnica ultrapassada/produto obsoleto</t>
  </si>
  <si>
    <t>Delegações exorbitantes</t>
  </si>
  <si>
    <t>Número insuficiente</t>
  </si>
  <si>
    <t>Falta ou deficiência de procedimentos de análise, conciliação, conferência e revisão</t>
  </si>
  <si>
    <t>Sem manuais de operação</t>
  </si>
  <si>
    <t>Tecnologia sem proteção de patentes</t>
  </si>
  <si>
    <t>Falta de definição de estratégia de controle para avaliar, direcionar e monitorar a atuação da gestão</t>
  </si>
  <si>
    <t>Perfil inadequado</t>
  </si>
  <si>
    <t>Falta ou deficiência de procedimentos de inventário</t>
  </si>
  <si>
    <t>Falta de formalização de instruções</t>
  </si>
  <si>
    <t>Sem capacitação</t>
  </si>
  <si>
    <t>Falta ou falha de política ou procedimentos formais</t>
  </si>
  <si>
    <t>Falta de rodízio de pessoal</t>
  </si>
  <si>
    <t>Falta ou falha de procedimento de monitoramento</t>
  </si>
  <si>
    <t>Pressão competitiva</t>
  </si>
  <si>
    <t>Falta ou insuficiência de documentação de suporte</t>
  </si>
  <si>
    <t>Produção e/ou disponibilização de informações de apoio á tomada de decisão, incompletas, imprecisas ou obscuras</t>
  </si>
  <si>
    <t xml:space="preserve">Sem manuais ou instruções formalizadas </t>
  </si>
  <si>
    <t>Sem segregação de funções</t>
  </si>
  <si>
    <t>Sem transparência</t>
  </si>
  <si>
    <t>Risco Inerente</t>
  </si>
  <si>
    <t>Controles-chave</t>
  </si>
  <si>
    <t>Controles identificados no fluxo descritivo ou mapeamento do processo considerados como de maior atuação na mitigação do risco.</t>
  </si>
  <si>
    <t>De 1 a 5</t>
  </si>
  <si>
    <t>De 6 a 10</t>
  </si>
  <si>
    <t>De 12 a 15</t>
  </si>
  <si>
    <t>De 16 a 20</t>
  </si>
  <si>
    <t>De 21 a 25</t>
  </si>
  <si>
    <t>IRRELEVANTE</t>
  </si>
  <si>
    <t>BAIXO</t>
  </si>
  <si>
    <t>MODERADO</t>
  </si>
  <si>
    <t>ALTO</t>
  </si>
  <si>
    <t>CRÍTICO</t>
  </si>
  <si>
    <t xml:space="preserve">Cs 1.1 - </t>
  </si>
  <si>
    <t xml:space="preserve">Cs 1.3 - </t>
  </si>
  <si>
    <t xml:space="preserve">Cs 2.1 - </t>
  </si>
  <si>
    <t xml:space="preserve">Cs 2.2 - </t>
  </si>
  <si>
    <t xml:space="preserve">Cs 2.3 - </t>
  </si>
  <si>
    <t>Cs 3.2 -</t>
  </si>
  <si>
    <t xml:space="preserve">Cq 1.1 - </t>
  </si>
  <si>
    <t xml:space="preserve">Cq 1.2 - </t>
  </si>
  <si>
    <t xml:space="preserve">Cq 1.3 - </t>
  </si>
  <si>
    <t xml:space="preserve">Cq 2.1 - </t>
  </si>
  <si>
    <t xml:space="preserve">Cq 2.2 - </t>
  </si>
  <si>
    <t xml:space="preserve">Cq 2.3 - </t>
  </si>
  <si>
    <t xml:space="preserve">Cq 3.1 - </t>
  </si>
  <si>
    <t xml:space="preserve">Cq 3.2 - </t>
  </si>
  <si>
    <t>Descrever o fluxo do processo em nível de detalhe adequado aos objetivos do trabalho de auditoria e/ou anexar o mapeamento em Bizagi.
Para definir o nível de detalhe, o auditor deve empregar seu julgamento profissional para evitar: 
- a insuficiência de informações que dão suporte ao trabalho; e 
- o desperdício de recursos com a obtenção de excesso de detalhes.</t>
  </si>
  <si>
    <t xml:space="preserve">Conclusão do Coordenador </t>
  </si>
  <si>
    <t>Supervisionado por:</t>
  </si>
  <si>
    <t>1.1</t>
  </si>
  <si>
    <t>1.2</t>
  </si>
  <si>
    <t>1.3</t>
  </si>
  <si>
    <t>1.4</t>
  </si>
  <si>
    <t>1.5</t>
  </si>
  <si>
    <t>1.6</t>
  </si>
  <si>
    <t>1.n</t>
  </si>
  <si>
    <t>Referência da Subquestão</t>
  </si>
  <si>
    <t>1.7</t>
  </si>
  <si>
    <t>1.8</t>
  </si>
  <si>
    <t>R1 -</t>
  </si>
  <si>
    <t>R2 -</t>
  </si>
  <si>
    <t>Justificativa para não avaliar o risco</t>
  </si>
  <si>
    <t>Patrícia Teixeira Ferrer</t>
  </si>
  <si>
    <t>Mariana de Oliveira Cavalheiro</t>
  </si>
  <si>
    <t>Thomaz Menna Barreto Moojen</t>
  </si>
  <si>
    <t>Bruno Dias Pereira</t>
  </si>
  <si>
    <t>Roberto Rheinheimer Walter</t>
  </si>
  <si>
    <t>Jefferson Douglas dos Santos Passos</t>
  </si>
  <si>
    <t>Base de Auditoria:</t>
  </si>
  <si>
    <t>Carlos Yuji Nagayama</t>
  </si>
  <si>
    <t>Jairo Berleza Guerra</t>
  </si>
  <si>
    <t>Marcos de Oliveira Ramos</t>
  </si>
  <si>
    <t>Tayguara Marques Moreira</t>
  </si>
  <si>
    <t>Agência Estadual de Regulação dos Serviços Públicos Delegados do RS - AGERGS</t>
  </si>
  <si>
    <t>BADESUL Desenvolvimento S.A. - Agência de Fomento/RS</t>
  </si>
  <si>
    <t>Brigada Militar</t>
  </si>
  <si>
    <t>Banco Regional de Desenvolvimento do Extremo Sul - BRDE</t>
  </si>
  <si>
    <t xml:space="preserve">Corpo de Bombeiros Militar RS  </t>
  </si>
  <si>
    <t>Centrais de Abastecimento do Rio Grande do Sul S.A. - CEASA</t>
  </si>
  <si>
    <t>Companhia Riograndense de Mineração - CRM</t>
  </si>
  <si>
    <t>Departamento Autônomo de Estradas de Rodagem - DAER</t>
  </si>
  <si>
    <t>Departamento Estadual de Trânsito do RS - DETRAN</t>
  </si>
  <si>
    <t>Defensoria Pública do Estado - DPE</t>
  </si>
  <si>
    <t>Escritório de Desenvolvimento de Projetos - EDP</t>
  </si>
  <si>
    <t>Empresa Gaúcha de Rodovias S/A - EGR</t>
  </si>
  <si>
    <t xml:space="preserve">Fundação de Articulação e Desenvolvimento de Políticas Públicas P/Pessoas Portadoras de Deficiência e de Altas Habilidades no RS - FADERS </t>
  </si>
  <si>
    <t>Fundação de Amparo à Pesquisa do Estado do Rio Grande do Sul - FAPERGS</t>
  </si>
  <si>
    <t>Fundação de Atendimento Sócio-Educativo - FASE</t>
  </si>
  <si>
    <t>Fundação Theatro São Pedro - FTSP</t>
  </si>
  <si>
    <t>Instituto de Assistência à Saúde dos Servidores Públicos do RS - IPE Saúde</t>
  </si>
  <si>
    <t>Instituto Riograndense do Arroz - IRGA</t>
  </si>
  <si>
    <t>Junta Comercial, Industrial e Serviços do Rio Grande do Sul - JUCIS</t>
  </si>
  <si>
    <t>Fundação Estadual de Planejamento Metropolitano e Regional - METROPLAN</t>
  </si>
  <si>
    <t>Ministério Público do Estado - MPRS</t>
  </si>
  <si>
    <t>Autoridade Portuária dos Portos do RS - PORTOS RS</t>
  </si>
  <si>
    <t>Centro de Tecnologia da Informação e Comunicação do Estado do Rio Grande do Sul - PROCERGS</t>
  </si>
  <si>
    <t>Fundação de Previdência Complementar do Servidor Público do Estado do Rio Grande do Sul - RS-PREV</t>
  </si>
  <si>
    <t>Superintendência dos Serviços Penitenciários - SSP</t>
  </si>
  <si>
    <t>Universidade Estadual do RS - UERGS</t>
  </si>
  <si>
    <t>Governador do Estado RS</t>
  </si>
  <si>
    <t xml:space="preserve">Secretário-Chefe da Casa Civil </t>
  </si>
  <si>
    <t xml:space="preserve">Casa Militar </t>
  </si>
  <si>
    <t>Procuradoria Geral do Estado - PGE/RS</t>
  </si>
  <si>
    <t>Assembleia Legislativa do Estado do RS - ALRS</t>
  </si>
  <si>
    <t>Tribunal de Contas do Estado do RS - TCE/RS</t>
  </si>
  <si>
    <t>Secretaria do Meio Ambiente e Infraestrutura - SEMA</t>
  </si>
  <si>
    <t>Secretaria da Agricultura, Pecuária, Produção Sustentável e Irrigação - SEAPI</t>
  </si>
  <si>
    <t>Secretaria da Educação - SEDUC</t>
  </si>
  <si>
    <t>Secretaria da Fazenda - SEFAZ</t>
  </si>
  <si>
    <t>Secretaria de Trabalho e Desenvolvimento Profissional - STDP</t>
  </si>
  <si>
    <t>Secretaria de Obras Públicas - SOP</t>
  </si>
  <si>
    <t>Secretaria de Desenvolvimento Rural - SDR</t>
  </si>
  <si>
    <t>Secretaria da Saúde - SES</t>
  </si>
  <si>
    <t>Secretaria da Segurança Pública - SSP</t>
  </si>
  <si>
    <t>Secretaria de Logística e Transportes - SELT</t>
  </si>
  <si>
    <t>Secretaria de Desenvolvimento Econômico - SEDEC</t>
  </si>
  <si>
    <t>Secretaria de Comunicação - SECOM</t>
  </si>
  <si>
    <t>Secretaria de Planejamento, Governança e Gestão - SPGG</t>
  </si>
  <si>
    <t>Subsecretaria de Patrimônio do Estado - SPE</t>
  </si>
  <si>
    <t>Secretaria da Cultura - SEDAC</t>
  </si>
  <si>
    <t>Secretaria de Desenvolvimento Urbano e Metropolitano - SEDUR</t>
  </si>
  <si>
    <t>Secretaria de Sistemas Penal Socioeducativo - SSPS</t>
  </si>
  <si>
    <t>Secretaria do Esporte e Lazer - SEL</t>
  </si>
  <si>
    <t>Secretaria de Desenvolvimento Social - SEDES</t>
  </si>
  <si>
    <t>Secretaria de Justiça, Cidadania e Direitos Humanos - SJCDH</t>
  </si>
  <si>
    <t>Secretaria de Inclusão Digital e Apoio às Políticas de Equidade - SEIDAPE</t>
  </si>
  <si>
    <t>Secretaria da Reconstrução Gaúcha - SERG</t>
  </si>
  <si>
    <t>Secretaria de Inovação, Ciência e Tecnologia - SICT</t>
  </si>
  <si>
    <t>Secretaria de Habitação e Regularização Fundiária - SEHAB</t>
  </si>
  <si>
    <t>Secretaria de Turismo - SETUR</t>
  </si>
  <si>
    <t>Tassia Akemi de Farias Araki</t>
  </si>
  <si>
    <t>Inconclusivo</t>
  </si>
  <si>
    <t>Não Aplicável</t>
  </si>
  <si>
    <t>Unidades Auditadas</t>
  </si>
  <si>
    <t>Secretaria de Estado da Mulher - SEM</t>
  </si>
  <si>
    <t>Unidade Auditada:</t>
  </si>
  <si>
    <t>Entendimento do Objeto do Trabalho</t>
  </si>
  <si>
    <t>Objetivo(s) do Objeto do Trabalho</t>
  </si>
  <si>
    <t>Normativas Aplicáveis</t>
  </si>
  <si>
    <t>Supervisores</t>
  </si>
  <si>
    <t>Resposta à Questão Geral de Auditoria</t>
  </si>
  <si>
    <t>PT1.1</t>
  </si>
  <si>
    <t>N° da Base de Auditoria:</t>
  </si>
  <si>
    <t>PT1.2</t>
  </si>
  <si>
    <t>Objeto da Auditoria:</t>
  </si>
  <si>
    <t>Descrever de forma sintética o entendimento do auditor, obtido após seu estudo dos elementos e informações relacionados ao objeto, tais como a relevância do objeto selecionado, fluxos de processos, sistemas envolvidos, a estrutura organizacional, os responsáveis, relatórios anteriores, organogramas, políticas e normativas que regulam o objeto, processos relacionados ao objeto, entre outros, de forma que um terceiro, ao ler o entendimento, tenha uma visão dos principais componentes do objeto e seu funcionamento.</t>
  </si>
  <si>
    <t>Descrever, em nível preliminar, o entendimento sobre o desenho e a existência dos controles instituídos pela gestão para tratar os riscos relacionados ao objeto auditado, com a finalidade de subsidiar a definição do escopo, da estratégia, dos procedimentos de auditoria e do grau de confiança que poderá ser atribuído ao ambiente de controle.</t>
  </si>
  <si>
    <t>Justificar a decisão de desconsiderar a avaliação de determinado risco relevante.</t>
  </si>
  <si>
    <t>Descrição das atividades que serão realizadas para obtenção de respostas para as subquestões de auditoria.</t>
  </si>
  <si>
    <t>Descrição para o resultado final do trabalho de auditoria.</t>
  </si>
  <si>
    <t>Possibilidade de ocorrência de um evento que tenha impacto no atingimento dos objetivos da organização.
Técnicas de Identificação de riscos: - Brainstorming - Questionários - Entrevistas - Análise SWOT - Análise de dados históricos - Diagrama de causa e efeito - Opinião de especialistas</t>
  </si>
  <si>
    <t>Avaliar a probabilidade do risco com base nos critérios sugeridos na aba "Tabelas". Para estimar a probabilidade, considere que todos os controles falharam.</t>
  </si>
  <si>
    <t>Justificativa para incluir ou excluir risco da avaliação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</si>
</sst>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7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8"/>
      <color theme="0"/>
      <name val="Segoe UI"/>
      <family val="2"/>
    </font>
    <font>
      <b/>
      <sz val="11"/>
      <color theme="0"/>
      <name val="Segoe UI"/>
      <family val="2"/>
    </font>
    <font>
      <b/>
      <sz val="11"/>
      <color theme="1"/>
      <name val="Segoe UI"/>
      <family val="2"/>
    </font>
    <font>
      <i/>
      <sz val="11"/>
      <color theme="1"/>
      <name val="Segoe UI"/>
      <family val="2"/>
    </font>
    <font>
      <b/>
      <sz val="11"/>
      <color rgb="FF004987"/>
      <name val="Segoe UI"/>
      <family val="2"/>
    </font>
    <font>
      <i/>
      <sz val="8"/>
      <color theme="1"/>
      <name val="Segoe UI"/>
      <family val="2"/>
    </font>
    <font>
      <b/>
      <sz val="11"/>
      <color theme="2" tint="-9.9978637043366805E-2"/>
      <name val="Segoe UI"/>
      <family val="2"/>
    </font>
    <font>
      <sz val="11"/>
      <color theme="2" tint="-9.9978637043366805E-2"/>
      <name val="Segoe UI"/>
      <family val="2"/>
    </font>
    <font>
      <i/>
      <sz val="11"/>
      <color theme="2" tint="-9.9978637043366805E-2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9"/>
      <color theme="0"/>
      <name val="Calibri"/>
      <family val="2"/>
      <scheme val="minor"/>
    </font>
    <font>
      <sz val="9"/>
      <name val="Calibri"/>
      <family val="2"/>
    </font>
    <font>
      <sz val="12"/>
      <color indexed="51"/>
      <name val="Wingdings"/>
      <charset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rgb="FF000000"/>
      <name val="CIDFont+F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0"/>
      <color rgb="FF0033CC"/>
      <name val="Cambria"/>
      <family val="1"/>
    </font>
    <font>
      <sz val="10"/>
      <color theme="1"/>
      <name val="Cambria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6"/>
      <color theme="0"/>
      <name val="Segoe UI"/>
      <family val="2"/>
    </font>
    <font>
      <b/>
      <sz val="20"/>
      <color theme="0"/>
      <name val="Segoe UI"/>
      <family val="2"/>
    </font>
    <font>
      <b/>
      <sz val="14"/>
      <color indexed="9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name val="Segoe UI"/>
      <family val="2"/>
    </font>
    <font>
      <i/>
      <sz val="11"/>
      <color theme="0"/>
      <name val="Segoe UI"/>
      <family val="2"/>
    </font>
    <font>
      <b/>
      <sz val="10"/>
      <name val="Cambria"/>
      <family val="1"/>
    </font>
    <font>
      <b/>
      <sz val="16"/>
      <color theme="1"/>
      <name val="Segoe UI"/>
      <family val="2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36"/>
      <color theme="0"/>
      <name val="Segoe UI"/>
      <family val="2"/>
    </font>
    <font>
      <b/>
      <sz val="48"/>
      <color theme="0"/>
      <name val="Segoe UI"/>
      <family val="2"/>
    </font>
    <font>
      <b/>
      <sz val="28"/>
      <color theme="0"/>
      <name val="Calibri"/>
      <family val="2"/>
      <scheme val="minor"/>
    </font>
    <font>
      <b/>
      <i/>
      <sz val="16"/>
      <color theme="1"/>
      <name val="Segoe UI"/>
      <family val="2"/>
    </font>
    <font>
      <b/>
      <sz val="12"/>
      <name val="Calibri"/>
      <family val="2"/>
      <scheme val="minor"/>
    </font>
    <font>
      <b/>
      <sz val="24"/>
      <color theme="0"/>
      <name val="Cambria"/>
      <family val="1"/>
    </font>
    <font>
      <b/>
      <sz val="36"/>
      <color theme="0"/>
      <name val="Cambria"/>
      <family val="1"/>
    </font>
    <font>
      <b/>
      <sz val="12"/>
      <color theme="0"/>
      <name val="Cambria"/>
      <family val="1"/>
    </font>
    <font>
      <b/>
      <sz val="48"/>
      <color theme="0"/>
      <name val="Calibri"/>
      <family val="2"/>
      <scheme val="minor"/>
    </font>
    <font>
      <b/>
      <sz val="14"/>
      <color theme="1"/>
      <name val="Segoe UI"/>
      <family val="2"/>
    </font>
    <font>
      <sz val="14"/>
      <color theme="1"/>
      <name val="Segoe UI"/>
      <family val="2"/>
    </font>
    <font>
      <i/>
      <sz val="11"/>
      <color theme="2" tint="-0.749992370372631"/>
      <name val="Segoe UI"/>
      <family val="2"/>
    </font>
    <font>
      <sz val="14"/>
      <name val="Segoe UI"/>
      <family val="2"/>
    </font>
    <font>
      <b/>
      <sz val="14"/>
      <name val="Segoe UI"/>
      <family val="2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i/>
      <sz val="8"/>
      <name val="Segoe UI"/>
      <family val="2"/>
    </font>
    <font>
      <i/>
      <sz val="14"/>
      <name val="Segoe UI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name val="Calibri"/>
      <family val="2"/>
      <scheme val="minor"/>
    </font>
    <font>
      <sz val="20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C4B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FFBD"/>
        <bgColor indexed="64"/>
      </patternFill>
    </fill>
    <fill>
      <patternFill patternType="solid">
        <fgColor rgb="FFFFE285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FFC7CE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  <xf numFmtId="0" fontId="16" fillId="0" borderId="0"/>
    <xf numFmtId="0" fontId="14" fillId="0" borderId="0"/>
    <xf numFmtId="0" fontId="14" fillId="0" borderId="0"/>
    <xf numFmtId="0" fontId="69" fillId="23" borderId="0" applyNumberFormat="0" applyBorder="0" applyAlignment="0" applyProtection="0"/>
  </cellStyleXfs>
  <cellXfs count="419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14" fillId="0" borderId="0" xfId="3"/>
    <xf numFmtId="0" fontId="15" fillId="0" borderId="0" xfId="3" applyFont="1"/>
    <xf numFmtId="0" fontId="18" fillId="5" borderId="1" xfId="5" applyFont="1" applyFill="1" applyBorder="1" applyAlignment="1">
      <alignment horizontal="center" vertical="center" wrapText="1"/>
    </xf>
    <xf numFmtId="0" fontId="14" fillId="0" borderId="0" xfId="3" applyAlignment="1">
      <alignment vertical="center" wrapText="1"/>
    </xf>
    <xf numFmtId="0" fontId="19" fillId="0" borderId="0" xfId="3" applyFont="1"/>
    <xf numFmtId="0" fontId="17" fillId="6" borderId="1" xfId="4" applyFont="1" applyFill="1" applyBorder="1" applyAlignment="1">
      <alignment horizontal="center" vertical="center"/>
    </xf>
    <xf numFmtId="0" fontId="17" fillId="8" borderId="1" xfId="4" applyFont="1" applyFill="1" applyBorder="1" applyAlignment="1">
      <alignment horizontal="center" vertical="center"/>
    </xf>
    <xf numFmtId="0" fontId="21" fillId="2" borderId="1" xfId="4" applyFont="1" applyFill="1" applyBorder="1" applyAlignment="1">
      <alignment horizontal="center" vertical="center"/>
    </xf>
    <xf numFmtId="0" fontId="21" fillId="2" borderId="1" xfId="4" applyFont="1" applyFill="1" applyBorder="1" applyAlignment="1" applyProtection="1">
      <alignment horizontal="center" vertical="center"/>
      <protection locked="0"/>
    </xf>
    <xf numFmtId="0" fontId="18" fillId="5" borderId="1" xfId="5" applyFont="1" applyFill="1" applyBorder="1" applyAlignment="1" applyProtection="1">
      <alignment horizontal="center" vertical="center" wrapText="1"/>
      <protection locked="0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7" fillId="6" borderId="4" xfId="4" applyFont="1" applyFill="1" applyBorder="1" applyAlignment="1">
      <alignment horizontal="center" vertical="center"/>
    </xf>
    <xf numFmtId="0" fontId="21" fillId="0" borderId="12" xfId="4" applyFont="1" applyBorder="1" applyAlignment="1">
      <alignment horizontal="center" vertical="center"/>
    </xf>
    <xf numFmtId="0" fontId="21" fillId="2" borderId="4" xfId="4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26" fillId="10" borderId="0" xfId="0" applyFont="1" applyFill="1"/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43" fontId="27" fillId="0" borderId="1" xfId="1" applyFont="1" applyBorder="1" applyAlignment="1">
      <alignment horizontal="center" vertical="center" wrapText="1"/>
    </xf>
    <xf numFmtId="43" fontId="28" fillId="0" borderId="1" xfId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/>
    </xf>
    <xf numFmtId="43" fontId="28" fillId="0" borderId="1" xfId="1" applyFont="1" applyBorder="1" applyAlignment="1" applyProtection="1">
      <alignment horizontal="center" vertical="center" wrapText="1"/>
      <protection locked="0"/>
    </xf>
    <xf numFmtId="14" fontId="2" fillId="3" borderId="2" xfId="0" applyNumberFormat="1" applyFont="1" applyFill="1" applyBorder="1" applyProtection="1">
      <protection locked="0"/>
    </xf>
    <xf numFmtId="14" fontId="8" fillId="3" borderId="2" xfId="0" applyNumberFormat="1" applyFont="1" applyFill="1" applyBorder="1" applyProtection="1">
      <protection locked="0"/>
    </xf>
    <xf numFmtId="14" fontId="8" fillId="3" borderId="4" xfId="0" applyNumberFormat="1" applyFont="1" applyFill="1" applyBorder="1" applyProtection="1">
      <protection locked="0"/>
    </xf>
    <xf numFmtId="14" fontId="2" fillId="3" borderId="4" xfId="0" applyNumberFormat="1" applyFont="1" applyFill="1" applyBorder="1" applyProtection="1">
      <protection locked="0"/>
    </xf>
    <xf numFmtId="0" fontId="0" fillId="0" borderId="0" xfId="0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0" fillId="3" borderId="3" xfId="0" applyFill="1" applyBorder="1" applyAlignment="1" applyProtection="1">
      <alignment horizontal="left" vertical="center" wrapText="1" indent="1"/>
      <protection locked="0"/>
    </xf>
    <xf numFmtId="0" fontId="0" fillId="3" borderId="7" xfId="0" applyFill="1" applyBorder="1" applyAlignment="1" applyProtection="1">
      <alignment horizontal="left" vertical="center" wrapText="1" indent="1"/>
      <protection locked="0"/>
    </xf>
    <xf numFmtId="0" fontId="4" fillId="7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6" fillId="3" borderId="0" xfId="0" applyFont="1" applyFill="1" applyProtection="1">
      <protection locked="0"/>
    </xf>
    <xf numFmtId="0" fontId="37" fillId="14" borderId="5" xfId="0" applyFont="1" applyFill="1" applyBorder="1" applyAlignment="1">
      <alignment horizontal="center" vertical="center" wrapText="1"/>
    </xf>
    <xf numFmtId="0" fontId="21" fillId="0" borderId="14" xfId="4" applyFont="1" applyBorder="1" applyAlignment="1">
      <alignment horizontal="center" vertical="center"/>
    </xf>
    <xf numFmtId="0" fontId="21" fillId="0" borderId="17" xfId="4" applyFont="1" applyBorder="1" applyAlignment="1">
      <alignment horizontal="center" vertical="center"/>
    </xf>
    <xf numFmtId="0" fontId="21" fillId="0" borderId="19" xfId="4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4" fillId="0" borderId="0" xfId="0" applyFont="1" applyAlignment="1">
      <alignment vertical="center" wrapText="1"/>
    </xf>
    <xf numFmtId="0" fontId="34" fillId="0" borderId="18" xfId="0" applyFont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39" fillId="0" borderId="0" xfId="0" applyFont="1" applyAlignment="1">
      <alignment horizontal="center"/>
    </xf>
    <xf numFmtId="0" fontId="40" fillId="13" borderId="0" xfId="0" applyFont="1" applyFill="1" applyAlignment="1">
      <alignment horizontal="center" wrapText="1"/>
    </xf>
    <xf numFmtId="0" fontId="42" fillId="0" borderId="0" xfId="0" applyFont="1" applyAlignment="1">
      <alignment horizontal="center" vertical="center"/>
    </xf>
    <xf numFmtId="0" fontId="15" fillId="0" borderId="7" xfId="3" applyFont="1" applyBorder="1"/>
    <xf numFmtId="0" fontId="26" fillId="10" borderId="0" xfId="0" applyFont="1" applyFill="1" applyAlignment="1">
      <alignment vertical="center"/>
    </xf>
    <xf numFmtId="0" fontId="5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2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49" fontId="21" fillId="0" borderId="15" xfId="0" applyNumberFormat="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49" fontId="21" fillId="0" borderId="20" xfId="0" applyNumberFormat="1" applyFont="1" applyBorder="1" applyAlignment="1">
      <alignment horizontal="center" vertical="center" wrapText="1"/>
    </xf>
    <xf numFmtId="0" fontId="20" fillId="0" borderId="0" xfId="6" applyFont="1" applyAlignment="1">
      <alignment horizontal="center" vertical="center"/>
    </xf>
    <xf numFmtId="0" fontId="17" fillId="6" borderId="2" xfId="4" applyFont="1" applyFill="1" applyBorder="1" applyAlignment="1">
      <alignment horizontal="center" vertical="center"/>
    </xf>
    <xf numFmtId="0" fontId="17" fillId="0" borderId="12" xfId="4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6" fillId="0" borderId="0" xfId="6" applyFont="1" applyAlignment="1">
      <alignment horizontal="center" vertical="center"/>
    </xf>
    <xf numFmtId="0" fontId="45" fillId="0" borderId="12" xfId="6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14" fillId="0" borderId="0" xfId="3" applyAlignment="1">
      <alignment horizontal="center" vertical="center"/>
    </xf>
    <xf numFmtId="0" fontId="17" fillId="4" borderId="1" xfId="4" applyFont="1" applyFill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14" fillId="0" borderId="1" xfId="3" applyBorder="1" applyAlignment="1">
      <alignment horizontal="center" vertical="center"/>
    </xf>
    <xf numFmtId="1" fontId="49" fillId="0" borderId="0" xfId="0" applyNumberFormat="1" applyFont="1" applyAlignment="1">
      <alignment horizontal="center"/>
    </xf>
    <xf numFmtId="43" fontId="50" fillId="0" borderId="1" xfId="1" applyFont="1" applyBorder="1" applyAlignment="1">
      <alignment horizontal="center" vertical="center" wrapText="1"/>
    </xf>
    <xf numFmtId="9" fontId="27" fillId="0" borderId="1" xfId="1" applyNumberFormat="1" applyFont="1" applyBorder="1" applyAlignment="1">
      <alignment horizontal="center" vertical="center" wrapText="1"/>
    </xf>
    <xf numFmtId="0" fontId="15" fillId="0" borderId="0" xfId="3" applyFont="1" applyAlignment="1">
      <alignment horizontal="center"/>
    </xf>
    <xf numFmtId="0" fontId="4" fillId="7" borderId="1" xfId="0" applyFont="1" applyFill="1" applyBorder="1" applyAlignment="1">
      <alignment horizontal="left" vertical="center" wrapText="1"/>
    </xf>
    <xf numFmtId="0" fontId="26" fillId="10" borderId="0" xfId="0" applyFont="1" applyFill="1" applyAlignment="1">
      <alignment horizontal="left" vertical="center" wrapText="1"/>
    </xf>
    <xf numFmtId="43" fontId="28" fillId="0" borderId="1" xfId="1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left" wrapText="1"/>
    </xf>
    <xf numFmtId="0" fontId="4" fillId="7" borderId="1" xfId="0" applyFont="1" applyFill="1" applyBorder="1" applyAlignment="1">
      <alignment horizontal="left" wrapText="1"/>
    </xf>
    <xf numFmtId="14" fontId="8" fillId="3" borderId="1" xfId="0" applyNumberFormat="1" applyFont="1" applyFill="1" applyBorder="1" applyAlignment="1" applyProtection="1">
      <alignment horizontal="left" wrapText="1"/>
      <protection locked="0"/>
    </xf>
    <xf numFmtId="0" fontId="5" fillId="2" borderId="0" xfId="0" applyFont="1" applyFill="1" applyAlignment="1">
      <alignment horizontal="left" wrapText="1"/>
    </xf>
    <xf numFmtId="14" fontId="2" fillId="3" borderId="1" xfId="0" applyNumberFormat="1" applyFont="1" applyFill="1" applyBorder="1" applyAlignment="1" applyProtection="1">
      <alignment horizontal="left" wrapText="1"/>
      <protection locked="0"/>
    </xf>
    <xf numFmtId="0" fontId="5" fillId="2" borderId="0" xfId="0" applyFont="1" applyFill="1" applyAlignment="1">
      <alignment horizontal="center" vertical="center"/>
    </xf>
    <xf numFmtId="0" fontId="37" fillId="14" borderId="20" xfId="0" applyFont="1" applyFill="1" applyBorder="1" applyAlignment="1">
      <alignment horizontal="center" vertical="center" wrapText="1"/>
    </xf>
    <xf numFmtId="0" fontId="34" fillId="0" borderId="21" xfId="0" applyFont="1" applyBorder="1" applyAlignment="1">
      <alignment vertical="center" wrapText="1"/>
    </xf>
    <xf numFmtId="0" fontId="53" fillId="0" borderId="12" xfId="4" applyFont="1" applyBorder="1" applyAlignment="1" applyProtection="1">
      <alignment horizontal="center" vertical="center" wrapText="1"/>
      <protection locked="0"/>
    </xf>
    <xf numFmtId="0" fontId="52" fillId="0" borderId="11" xfId="6" applyFont="1" applyBorder="1" applyAlignment="1" applyProtection="1">
      <alignment horizontal="center" vertical="center" wrapText="1"/>
      <protection locked="0"/>
    </xf>
    <xf numFmtId="0" fontId="0" fillId="3" borderId="28" xfId="0" applyFill="1" applyBorder="1" applyAlignment="1">
      <alignment horizontal="center" vertical="center" textRotation="90"/>
    </xf>
    <xf numFmtId="0" fontId="30" fillId="0" borderId="28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30" fillId="0" borderId="33" xfId="0" applyFont="1" applyBorder="1" applyAlignment="1">
      <alignment horizontal="center" vertical="center"/>
    </xf>
    <xf numFmtId="0" fontId="0" fillId="3" borderId="29" xfId="0" applyFill="1" applyBorder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/>
    <xf numFmtId="0" fontId="0" fillId="3" borderId="30" xfId="0" applyFill="1" applyBorder="1"/>
    <xf numFmtId="0" fontId="21" fillId="2" borderId="1" xfId="4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54" fillId="0" borderId="0" xfId="0" applyFont="1"/>
    <xf numFmtId="0" fontId="58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>
      <alignment horizontal="left" vertical="center"/>
    </xf>
    <xf numFmtId="0" fontId="17" fillId="15" borderId="1" xfId="4" applyFont="1" applyFill="1" applyBorder="1" applyAlignment="1">
      <alignment horizontal="center" vertical="center"/>
    </xf>
    <xf numFmtId="0" fontId="53" fillId="0" borderId="1" xfId="4" applyFont="1" applyBorder="1" applyAlignment="1" applyProtection="1">
      <alignment horizontal="center" vertical="center" wrapText="1"/>
      <protection locked="0"/>
    </xf>
    <xf numFmtId="0" fontId="15" fillId="0" borderId="0" xfId="3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4" fillId="0" borderId="1" xfId="3" applyBorder="1" applyAlignment="1">
      <alignment wrapText="1"/>
    </xf>
    <xf numFmtId="0" fontId="30" fillId="13" borderId="14" xfId="0" applyFont="1" applyFill="1" applyBorder="1" applyAlignment="1">
      <alignment horizontal="center" vertical="center" wrapText="1"/>
    </xf>
    <xf numFmtId="0" fontId="30" fillId="13" borderId="15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4" fillId="0" borderId="17" xfId="3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62" fillId="0" borderId="0" xfId="0" applyFont="1" applyAlignment="1">
      <alignment horizontal="center" vertical="center" wrapText="1"/>
    </xf>
    <xf numFmtId="0" fontId="41" fillId="15" borderId="9" xfId="4" applyFont="1" applyFill="1" applyBorder="1" applyAlignment="1">
      <alignment horizontal="center" vertical="center"/>
    </xf>
    <xf numFmtId="0" fontId="41" fillId="15" borderId="1" xfId="4" applyFont="1" applyFill="1" applyBorder="1" applyAlignment="1">
      <alignment horizontal="center" vertical="center"/>
    </xf>
    <xf numFmtId="0" fontId="52" fillId="0" borderId="10" xfId="6" applyFont="1" applyBorder="1" applyAlignment="1" applyProtection="1">
      <alignment horizontal="left" vertical="center" wrapText="1"/>
      <protection locked="0"/>
    </xf>
    <xf numFmtId="41" fontId="52" fillId="0" borderId="10" xfId="6" applyNumberFormat="1" applyFont="1" applyBorder="1" applyAlignment="1" applyProtection="1">
      <alignment horizontal="center" vertical="center" wrapText="1"/>
      <protection locked="0"/>
    </xf>
    <xf numFmtId="49" fontId="21" fillId="0" borderId="1" xfId="0" quotePrefix="1" applyNumberFormat="1" applyFont="1" applyBorder="1" applyAlignment="1">
      <alignment horizontal="center" vertical="center" wrapText="1"/>
    </xf>
    <xf numFmtId="0" fontId="65" fillId="0" borderId="11" xfId="2" applyNumberFormat="1" applyFont="1" applyBorder="1" applyAlignment="1" applyProtection="1">
      <alignment horizontal="center" vertical="center" wrapText="1"/>
      <protection locked="0"/>
    </xf>
    <xf numFmtId="0" fontId="65" fillId="0" borderId="12" xfId="2" applyNumberFormat="1" applyFont="1" applyBorder="1" applyAlignment="1" applyProtection="1">
      <alignment horizontal="center" vertical="center" wrapText="1"/>
      <protection locked="0"/>
    </xf>
    <xf numFmtId="0" fontId="43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1" fontId="10" fillId="0" borderId="0" xfId="0" applyNumberFormat="1" applyFont="1" applyAlignment="1" applyProtection="1">
      <alignment vertical="center"/>
      <protection locked="0"/>
    </xf>
    <xf numFmtId="0" fontId="2" fillId="2" borderId="0" xfId="0" applyFont="1" applyFill="1" applyProtection="1">
      <protection locked="0"/>
    </xf>
    <xf numFmtId="0" fontId="3" fillId="0" borderId="0" xfId="0" applyFont="1" applyAlignment="1" applyProtection="1">
      <alignment vertical="center"/>
      <protection locked="0"/>
    </xf>
    <xf numFmtId="0" fontId="43" fillId="15" borderId="5" xfId="0" applyFont="1" applyFill="1" applyBorder="1" applyAlignment="1">
      <alignment horizontal="center" vertical="center" wrapText="1"/>
    </xf>
    <xf numFmtId="0" fontId="43" fillId="15" borderId="26" xfId="0" applyFont="1" applyFill="1" applyBorder="1" applyAlignment="1">
      <alignment horizontal="center" vertical="center" wrapText="1"/>
    </xf>
    <xf numFmtId="0" fontId="43" fillId="15" borderId="13" xfId="0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0" fontId="36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/>
      <protection locked="0"/>
    </xf>
    <xf numFmtId="0" fontId="24" fillId="0" borderId="0" xfId="6" applyFont="1" applyAlignment="1" applyProtection="1">
      <alignment vertical="center" wrapText="1"/>
      <protection locked="0"/>
    </xf>
    <xf numFmtId="0" fontId="24" fillId="0" borderId="0" xfId="6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4" fillId="0" borderId="0" xfId="6" applyFont="1" applyAlignment="1" applyProtection="1">
      <alignment horizontal="center" vertical="center" wrapText="1"/>
      <protection locked="0"/>
    </xf>
    <xf numFmtId="0" fontId="24" fillId="0" borderId="0" xfId="6" applyFont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59" fillId="0" borderId="0" xfId="6" applyFont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3" fillId="0" borderId="0" xfId="0" applyFont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0" fontId="51" fillId="0" borderId="0" xfId="0" applyFont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43" fillId="15" borderId="12" xfId="0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43" fillId="12" borderId="1" xfId="0" applyFont="1" applyFill="1" applyBorder="1" applyAlignment="1">
      <alignment horizontal="center" vertical="center" wrapText="1"/>
    </xf>
    <xf numFmtId="0" fontId="43" fillId="16" borderId="1" xfId="0" applyFont="1" applyFill="1" applyBorder="1" applyAlignment="1">
      <alignment horizontal="center" vertical="center" wrapText="1"/>
    </xf>
    <xf numFmtId="0" fontId="43" fillId="11" borderId="1" xfId="0" applyFont="1" applyFill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53" fillId="0" borderId="5" xfId="0" applyFont="1" applyBorder="1" applyAlignment="1">
      <alignment horizontal="center" vertical="center" wrapText="1"/>
    </xf>
    <xf numFmtId="0" fontId="52" fillId="0" borderId="11" xfId="6" applyFont="1" applyBorder="1" applyAlignment="1">
      <alignment horizontal="center" vertical="center" wrapText="1"/>
    </xf>
    <xf numFmtId="0" fontId="53" fillId="0" borderId="11" xfId="0" applyFont="1" applyBorder="1" applyAlignment="1">
      <alignment horizontal="center" vertical="center" wrapText="1"/>
    </xf>
    <xf numFmtId="0" fontId="65" fillId="3" borderId="15" xfId="0" applyFont="1" applyFill="1" applyBorder="1" applyAlignment="1" applyProtection="1">
      <alignment horizontal="left" vertical="center" wrapText="1"/>
      <protection locked="0"/>
    </xf>
    <xf numFmtId="0" fontId="65" fillId="3" borderId="16" xfId="0" applyFont="1" applyFill="1" applyBorder="1" applyAlignment="1" applyProtection="1">
      <alignment horizontal="left" vertical="center" wrapText="1"/>
      <protection locked="0"/>
    </xf>
    <xf numFmtId="0" fontId="65" fillId="3" borderId="1" xfId="0" applyFont="1" applyFill="1" applyBorder="1" applyAlignment="1" applyProtection="1">
      <alignment horizontal="left" vertical="center" wrapText="1"/>
      <protection locked="0"/>
    </xf>
    <xf numFmtId="0" fontId="65" fillId="3" borderId="18" xfId="0" applyFont="1" applyFill="1" applyBorder="1" applyAlignment="1" applyProtection="1">
      <alignment horizontal="left" vertical="center" wrapText="1"/>
      <protection locked="0"/>
    </xf>
    <xf numFmtId="0" fontId="65" fillId="3" borderId="20" xfId="0" applyFont="1" applyFill="1" applyBorder="1" applyAlignment="1" applyProtection="1">
      <alignment horizontal="left" vertical="center" wrapText="1"/>
      <protection locked="0"/>
    </xf>
    <xf numFmtId="0" fontId="65" fillId="3" borderId="21" xfId="0" applyFont="1" applyFill="1" applyBorder="1" applyAlignment="1" applyProtection="1">
      <alignment horizontal="left" vertical="center" wrapText="1"/>
      <protection locked="0"/>
    </xf>
    <xf numFmtId="49" fontId="52" fillId="0" borderId="10" xfId="6" applyNumberFormat="1" applyFont="1" applyBorder="1" applyAlignment="1" applyProtection="1">
      <alignment horizontal="left" vertical="center" wrapText="1"/>
      <protection locked="0"/>
    </xf>
    <xf numFmtId="0" fontId="52" fillId="0" borderId="11" xfId="6" applyFont="1" applyBorder="1" applyAlignment="1" applyProtection="1">
      <alignment horizontal="left" vertical="center" wrapText="1"/>
      <protection locked="0"/>
    </xf>
    <xf numFmtId="0" fontId="65" fillId="0" borderId="11" xfId="2" applyNumberFormat="1" applyFont="1" applyBorder="1" applyAlignment="1" applyProtection="1">
      <alignment horizontal="left" vertical="center" wrapText="1"/>
      <protection locked="0"/>
    </xf>
    <xf numFmtId="0" fontId="65" fillId="0" borderId="12" xfId="2" applyNumberFormat="1" applyFont="1" applyBorder="1" applyAlignment="1" applyProtection="1">
      <alignment horizontal="left" vertical="center" wrapText="1"/>
      <protection locked="0"/>
    </xf>
    <xf numFmtId="0" fontId="52" fillId="0" borderId="1" xfId="6" applyFont="1" applyBorder="1" applyAlignment="1" applyProtection="1">
      <alignment horizontal="center" vertical="center" wrapText="1"/>
      <protection locked="0"/>
    </xf>
    <xf numFmtId="0" fontId="52" fillId="0" borderId="1" xfId="6" applyFont="1" applyBorder="1" applyAlignment="1" applyProtection="1">
      <alignment horizontal="left" vertical="center" wrapText="1"/>
      <protection locked="0"/>
    </xf>
    <xf numFmtId="0" fontId="52" fillId="0" borderId="1" xfId="0" applyFont="1" applyBorder="1" applyAlignment="1">
      <alignment horizontal="center" vertical="center" wrapText="1"/>
    </xf>
    <xf numFmtId="0" fontId="52" fillId="0" borderId="1" xfId="6" applyFont="1" applyBorder="1" applyAlignment="1">
      <alignment horizontal="center" vertical="center" wrapText="1"/>
    </xf>
    <xf numFmtId="0" fontId="71" fillId="3" borderId="1" xfId="0" applyFont="1" applyFill="1" applyBorder="1" applyAlignment="1">
      <alignment horizontal="left" vertical="center" wrapText="1"/>
    </xf>
    <xf numFmtId="0" fontId="71" fillId="3" borderId="1" xfId="0" quotePrefix="1" applyFont="1" applyFill="1" applyBorder="1" applyAlignment="1">
      <alignment horizontal="left" vertical="center" wrapText="1"/>
    </xf>
    <xf numFmtId="0" fontId="71" fillId="0" borderId="1" xfId="0" applyFont="1" applyBorder="1" applyAlignment="1">
      <alignment horizontal="left" vertical="center"/>
    </xf>
    <xf numFmtId="0" fontId="70" fillId="3" borderId="1" xfId="7" applyFont="1" applyFill="1" applyBorder="1" applyAlignment="1">
      <alignment horizontal="left" vertical="center" wrapText="1"/>
    </xf>
    <xf numFmtId="0" fontId="71" fillId="0" borderId="1" xfId="0" applyFont="1" applyBorder="1" applyAlignment="1">
      <alignment horizontal="left" vertical="center" wrapText="1"/>
    </xf>
    <xf numFmtId="0" fontId="71" fillId="3" borderId="1" xfId="0" applyFont="1" applyFill="1" applyBorder="1" applyAlignment="1">
      <alignment horizontal="left" vertical="center"/>
    </xf>
    <xf numFmtId="0" fontId="72" fillId="0" borderId="1" xfId="0" applyFont="1" applyBorder="1" applyAlignment="1">
      <alignment horizontal="left" vertical="center" wrapText="1"/>
    </xf>
    <xf numFmtId="0" fontId="48" fillId="3" borderId="1" xfId="0" applyFont="1" applyFill="1" applyBorder="1" applyAlignment="1" applyProtection="1">
      <alignment horizontal="left" vertical="center"/>
      <protection locked="0"/>
    </xf>
    <xf numFmtId="0" fontId="51" fillId="0" borderId="0" xfId="0" applyFont="1" applyAlignment="1" applyProtection="1">
      <alignment horizontal="center" vertical="center"/>
      <protection locked="0"/>
    </xf>
    <xf numFmtId="0" fontId="40" fillId="0" borderId="11" xfId="0" applyFont="1" applyBorder="1" applyAlignment="1" applyProtection="1">
      <alignment horizontal="center" vertical="center" wrapText="1"/>
      <protection locked="0"/>
    </xf>
    <xf numFmtId="0" fontId="53" fillId="0" borderId="11" xfId="0" applyFont="1" applyBorder="1" applyAlignment="1" applyProtection="1">
      <alignment horizontal="center" vertical="center" wrapText="1"/>
      <protection locked="0"/>
    </xf>
    <xf numFmtId="0" fontId="75" fillId="0" borderId="0" xfId="6" applyFont="1" applyAlignment="1" applyProtection="1">
      <alignment horizontal="center" vertical="center" wrapText="1"/>
      <protection locked="0"/>
    </xf>
    <xf numFmtId="0" fontId="76" fillId="22" borderId="44" xfId="0" applyFont="1" applyFill="1" applyBorder="1" applyAlignment="1">
      <alignment horizontal="center" vertical="center"/>
    </xf>
    <xf numFmtId="0" fontId="75" fillId="0" borderId="0" xfId="6" applyFont="1" applyAlignment="1" applyProtection="1">
      <alignment vertical="center"/>
      <protection locked="0"/>
    </xf>
    <xf numFmtId="0" fontId="75" fillId="0" borderId="0" xfId="6" applyFont="1" applyAlignment="1" applyProtection="1">
      <alignment vertical="center" wrapText="1"/>
      <protection locked="0"/>
    </xf>
    <xf numFmtId="0" fontId="75" fillId="0" borderId="0" xfId="6" applyFont="1" applyAlignment="1" applyProtection="1">
      <alignment horizontal="center" vertical="center"/>
      <protection locked="0"/>
    </xf>
    <xf numFmtId="0" fontId="34" fillId="0" borderId="0" xfId="0" applyFont="1" applyProtection="1">
      <protection locked="0"/>
    </xf>
    <xf numFmtId="0" fontId="34" fillId="0" borderId="0" xfId="0" applyFont="1" applyAlignment="1" applyProtection="1">
      <alignment vertical="center"/>
      <protection locked="0"/>
    </xf>
    <xf numFmtId="0" fontId="76" fillId="21" borderId="45" xfId="0" applyFont="1" applyFill="1" applyBorder="1" applyAlignment="1">
      <alignment horizontal="center" vertical="center"/>
    </xf>
    <xf numFmtId="0" fontId="76" fillId="20" borderId="45" xfId="0" applyFont="1" applyFill="1" applyBorder="1" applyAlignment="1">
      <alignment horizontal="center" vertical="center"/>
    </xf>
    <xf numFmtId="0" fontId="76" fillId="19" borderId="45" xfId="0" applyFont="1" applyFill="1" applyBorder="1" applyAlignment="1">
      <alignment horizontal="center" vertical="center"/>
    </xf>
    <xf numFmtId="0" fontId="76" fillId="18" borderId="46" xfId="0" applyFont="1" applyFill="1" applyBorder="1" applyAlignment="1">
      <alignment horizontal="center" vertical="center"/>
    </xf>
    <xf numFmtId="0" fontId="30" fillId="0" borderId="15" xfId="0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74" fillId="0" borderId="0" xfId="0" applyFont="1" applyAlignment="1" applyProtection="1">
      <alignment horizontal="left" vertical="center"/>
      <protection locked="0"/>
    </xf>
    <xf numFmtId="14" fontId="67" fillId="0" borderId="0" xfId="0" applyNumberFormat="1" applyFont="1" applyAlignment="1" applyProtection="1">
      <alignment horizontal="center" vertical="center"/>
      <protection locked="0"/>
    </xf>
    <xf numFmtId="0" fontId="14" fillId="3" borderId="7" xfId="3" applyFill="1" applyBorder="1" applyAlignment="1" applyProtection="1">
      <alignment horizontal="left" vertical="center" wrapText="1" indent="1"/>
      <protection locked="0"/>
    </xf>
    <xf numFmtId="14" fontId="73" fillId="3" borderId="0" xfId="0" applyNumberFormat="1" applyFont="1" applyFill="1" applyAlignment="1" applyProtection="1">
      <alignment horizontal="center" vertical="center"/>
      <protection locked="0"/>
    </xf>
    <xf numFmtId="0" fontId="43" fillId="0" borderId="9" xfId="0" applyFont="1" applyBorder="1" applyAlignment="1" applyProtection="1">
      <alignment horizontal="center"/>
      <protection locked="0"/>
    </xf>
    <xf numFmtId="43" fontId="6" fillId="0" borderId="9" xfId="0" applyNumberFormat="1" applyFont="1" applyBorder="1" applyAlignment="1" applyProtection="1">
      <alignment horizontal="left" vertical="center"/>
      <protection locked="0"/>
    </xf>
    <xf numFmtId="0" fontId="68" fillId="0" borderId="0" xfId="6" applyFont="1" applyAlignment="1" applyProtection="1">
      <alignment horizontal="center" vertical="center"/>
      <protection locked="0"/>
    </xf>
    <xf numFmtId="0" fontId="67" fillId="0" borderId="0" xfId="6" applyFont="1" applyAlignment="1" applyProtection="1">
      <alignment horizontal="center" vertical="center"/>
      <protection locked="0"/>
    </xf>
    <xf numFmtId="0" fontId="68" fillId="0" borderId="0" xfId="6" applyFont="1" applyAlignment="1" applyProtection="1">
      <alignment horizontal="center" vertical="center" wrapText="1"/>
      <protection locked="0"/>
    </xf>
    <xf numFmtId="0" fontId="67" fillId="0" borderId="0" xfId="6" applyFont="1" applyAlignment="1" applyProtection="1">
      <alignment horizontal="left" vertical="center" wrapText="1"/>
      <protection locked="0"/>
    </xf>
    <xf numFmtId="43" fontId="67" fillId="0" borderId="0" xfId="6" applyNumberFormat="1" applyFont="1" applyAlignment="1" applyProtection="1">
      <alignment horizontal="left" vertical="center" wrapText="1"/>
      <protection locked="0"/>
    </xf>
    <xf numFmtId="0" fontId="67" fillId="0" borderId="0" xfId="6" applyFont="1" applyAlignment="1" applyProtection="1">
      <alignment horizontal="left" vertical="center"/>
      <protection locked="0"/>
    </xf>
    <xf numFmtId="0" fontId="43" fillId="15" borderId="20" xfId="0" applyFont="1" applyFill="1" applyBorder="1" applyAlignment="1">
      <alignment horizontal="center" vertical="center"/>
    </xf>
    <xf numFmtId="0" fontId="48" fillId="3" borderId="20" xfId="0" applyFont="1" applyFill="1" applyBorder="1" applyAlignment="1" applyProtection="1">
      <alignment vertical="center"/>
      <protection locked="0"/>
    </xf>
    <xf numFmtId="0" fontId="43" fillId="0" borderId="21" xfId="0" applyFont="1" applyBorder="1" applyAlignment="1">
      <alignment vertical="center"/>
    </xf>
    <xf numFmtId="0" fontId="77" fillId="0" borderId="0" xfId="6" applyFont="1" applyAlignment="1" applyProtection="1">
      <alignment vertical="center"/>
      <protection locked="0"/>
    </xf>
    <xf numFmtId="0" fontId="78" fillId="0" borderId="0" xfId="0" applyFont="1" applyAlignment="1" applyProtection="1">
      <alignment vertical="center"/>
      <protection locked="0"/>
    </xf>
    <xf numFmtId="0" fontId="34" fillId="0" borderId="0" xfId="0" applyFont="1" applyAlignment="1" applyProtection="1">
      <alignment horizontal="center"/>
      <protection locked="0"/>
    </xf>
    <xf numFmtId="0" fontId="43" fillId="24" borderId="36" xfId="0" applyFont="1" applyFill="1" applyBorder="1" applyAlignment="1">
      <alignment horizontal="center" vertical="center" wrapText="1"/>
    </xf>
    <xf numFmtId="0" fontId="43" fillId="15" borderId="40" xfId="0" applyFont="1" applyFill="1" applyBorder="1" applyAlignment="1">
      <alignment horizontal="center" vertical="center" wrapText="1"/>
    </xf>
    <xf numFmtId="0" fontId="43" fillId="15" borderId="24" xfId="0" applyFont="1" applyFill="1" applyBorder="1" applyAlignment="1">
      <alignment horizontal="center" vertical="center" wrapText="1"/>
    </xf>
    <xf numFmtId="0" fontId="43" fillId="15" borderId="19" xfId="0" applyFont="1" applyFill="1" applyBorder="1" applyAlignment="1">
      <alignment horizontal="center" vertical="center" wrapText="1"/>
    </xf>
    <xf numFmtId="0" fontId="43" fillId="15" borderId="20" xfId="0" applyFont="1" applyFill="1" applyBorder="1" applyAlignment="1">
      <alignment horizontal="center" vertical="center" wrapText="1"/>
    </xf>
    <xf numFmtId="14" fontId="74" fillId="3" borderId="21" xfId="0" applyNumberFormat="1" applyFont="1" applyFill="1" applyBorder="1" applyAlignment="1" applyProtection="1">
      <alignment horizontal="center" vertical="center"/>
      <protection locked="0"/>
    </xf>
    <xf numFmtId="0" fontId="43" fillId="24" borderId="40" xfId="0" applyFont="1" applyFill="1" applyBorder="1" applyAlignment="1">
      <alignment horizontal="center" vertical="center" wrapText="1"/>
    </xf>
    <xf numFmtId="0" fontId="43" fillId="15" borderId="6" xfId="0" applyFont="1" applyFill="1" applyBorder="1" applyAlignment="1">
      <alignment horizontal="center" vertical="center" wrapText="1"/>
    </xf>
    <xf numFmtId="0" fontId="65" fillId="0" borderId="10" xfId="2" applyNumberFormat="1" applyFont="1" applyBorder="1" applyAlignment="1" applyProtection="1">
      <alignment horizontal="center" vertical="center" wrapText="1"/>
      <protection locked="0"/>
    </xf>
    <xf numFmtId="0" fontId="67" fillId="0" borderId="8" xfId="6" applyFont="1" applyBorder="1" applyAlignment="1" applyProtection="1">
      <alignment horizontal="center" vertical="center" wrapText="1"/>
      <protection locked="0"/>
    </xf>
    <xf numFmtId="0" fontId="65" fillId="0" borderId="6" xfId="2" applyNumberFormat="1" applyFont="1" applyBorder="1" applyAlignment="1" applyProtection="1">
      <alignment horizontal="center" vertical="center" wrapText="1"/>
      <protection locked="0"/>
    </xf>
    <xf numFmtId="0" fontId="67" fillId="0" borderId="13" xfId="6" applyFont="1" applyBorder="1" applyAlignment="1" applyProtection="1">
      <alignment horizontal="center" vertical="center" wrapText="1"/>
      <protection locked="0"/>
    </xf>
    <xf numFmtId="0" fontId="4" fillId="15" borderId="14" xfId="0" applyFont="1" applyFill="1" applyBorder="1" applyAlignment="1">
      <alignment horizontal="center" vertical="center"/>
    </xf>
    <xf numFmtId="0" fontId="4" fillId="15" borderId="17" xfId="0" applyFont="1" applyFill="1" applyBorder="1" applyAlignment="1">
      <alignment horizontal="center" vertical="center"/>
    </xf>
    <xf numFmtId="14" fontId="73" fillId="3" borderId="18" xfId="0" applyNumberFormat="1" applyFont="1" applyFill="1" applyBorder="1" applyAlignment="1" applyProtection="1">
      <alignment horizontal="center" vertical="center"/>
      <protection locked="0"/>
    </xf>
    <xf numFmtId="0" fontId="4" fillId="15" borderId="19" xfId="0" applyFont="1" applyFill="1" applyBorder="1" applyAlignment="1">
      <alignment horizontal="center" vertical="center"/>
    </xf>
    <xf numFmtId="0" fontId="4" fillId="15" borderId="20" xfId="0" applyFont="1" applyFill="1" applyBorder="1" applyAlignment="1">
      <alignment horizontal="center" vertical="center"/>
    </xf>
    <xf numFmtId="14" fontId="73" fillId="3" borderId="21" xfId="0" applyNumberFormat="1" applyFont="1" applyFill="1" applyBorder="1" applyAlignment="1" applyProtection="1">
      <alignment horizontal="center" vertical="center"/>
      <protection locked="0"/>
    </xf>
    <xf numFmtId="0" fontId="4" fillId="15" borderId="17" xfId="0" applyFont="1" applyFill="1" applyBorder="1" applyAlignment="1">
      <alignment horizontal="center" vertical="center" wrapText="1"/>
    </xf>
    <xf numFmtId="0" fontId="4" fillId="15" borderId="19" xfId="0" applyFont="1" applyFill="1" applyBorder="1" applyAlignment="1">
      <alignment horizontal="center" vertical="center" wrapText="1"/>
    </xf>
    <xf numFmtId="0" fontId="34" fillId="0" borderId="25" xfId="0" applyFont="1" applyBorder="1" applyAlignment="1">
      <alignment vertical="center" wrapText="1"/>
    </xf>
    <xf numFmtId="0" fontId="37" fillId="15" borderId="17" xfId="0" applyFont="1" applyFill="1" applyBorder="1" applyAlignment="1">
      <alignment horizontal="center" vertical="center" wrapText="1"/>
    </xf>
    <xf numFmtId="0" fontId="37" fillId="15" borderId="24" xfId="0" applyFont="1" applyFill="1" applyBorder="1" applyAlignment="1">
      <alignment horizontal="center" vertical="center" wrapText="1"/>
    </xf>
    <xf numFmtId="0" fontId="37" fillId="15" borderId="19" xfId="0" applyFont="1" applyFill="1" applyBorder="1" applyAlignment="1">
      <alignment horizontal="center" vertical="center" wrapText="1"/>
    </xf>
    <xf numFmtId="0" fontId="37" fillId="25" borderId="17" xfId="0" applyFont="1" applyFill="1" applyBorder="1" applyAlignment="1">
      <alignment horizontal="center" vertical="center" wrapText="1"/>
    </xf>
    <xf numFmtId="0" fontId="74" fillId="3" borderId="37" xfId="0" applyFont="1" applyFill="1" applyBorder="1" applyAlignment="1" applyProtection="1">
      <alignment horizontal="left" vertical="center"/>
      <protection locked="0"/>
    </xf>
    <xf numFmtId="0" fontId="74" fillId="3" borderId="38" xfId="0" applyFont="1" applyFill="1" applyBorder="1" applyAlignment="1" applyProtection="1">
      <alignment horizontal="left" vertical="center"/>
      <protection locked="0"/>
    </xf>
    <xf numFmtId="0" fontId="74" fillId="3" borderId="41" xfId="0" applyFont="1" applyFill="1" applyBorder="1" applyAlignment="1" applyProtection="1">
      <alignment horizontal="left" vertical="center"/>
      <protection locked="0"/>
    </xf>
    <xf numFmtId="0" fontId="74" fillId="3" borderId="54" xfId="0" applyFont="1" applyFill="1" applyBorder="1" applyAlignment="1" applyProtection="1">
      <alignment horizontal="left" vertical="center"/>
      <protection locked="0"/>
    </xf>
    <xf numFmtId="0" fontId="74" fillId="3" borderId="51" xfId="0" applyFont="1" applyFill="1" applyBorder="1" applyAlignment="1" applyProtection="1">
      <alignment horizontal="left" vertical="center"/>
      <protection locked="0"/>
    </xf>
    <xf numFmtId="0" fontId="74" fillId="3" borderId="52" xfId="0" applyFont="1" applyFill="1" applyBorder="1" applyAlignment="1" applyProtection="1">
      <alignment horizontal="left" vertical="center"/>
      <protection locked="0"/>
    </xf>
    <xf numFmtId="0" fontId="74" fillId="3" borderId="53" xfId="0" applyFont="1" applyFill="1" applyBorder="1" applyAlignment="1" applyProtection="1">
      <alignment horizontal="left" vertical="center"/>
      <protection locked="0"/>
    </xf>
    <xf numFmtId="0" fontId="63" fillId="15" borderId="26" xfId="0" applyFont="1" applyFill="1" applyBorder="1" applyAlignment="1">
      <alignment horizontal="center" vertical="center" wrapText="1"/>
    </xf>
    <xf numFmtId="0" fontId="63" fillId="15" borderId="7" xfId="0" applyFont="1" applyFill="1" applyBorder="1" applyAlignment="1">
      <alignment horizontal="center" vertical="center" wrapText="1"/>
    </xf>
    <xf numFmtId="0" fontId="63" fillId="15" borderId="13" xfId="0" applyFont="1" applyFill="1" applyBorder="1" applyAlignment="1">
      <alignment horizontal="center" vertical="center" wrapText="1"/>
    </xf>
    <xf numFmtId="0" fontId="63" fillId="15" borderId="0" xfId="0" applyFont="1" applyFill="1" applyAlignment="1">
      <alignment horizontal="center" vertical="center" wrapText="1"/>
    </xf>
    <xf numFmtId="0" fontId="64" fillId="0" borderId="47" xfId="0" applyFont="1" applyBorder="1" applyAlignment="1">
      <alignment horizontal="left" vertical="center"/>
    </xf>
    <xf numFmtId="0" fontId="64" fillId="0" borderId="48" xfId="0" applyFont="1" applyBorder="1" applyAlignment="1">
      <alignment horizontal="left" vertical="center"/>
    </xf>
    <xf numFmtId="0" fontId="64" fillId="0" borderId="49" xfId="0" applyFont="1" applyBorder="1" applyAlignment="1">
      <alignment horizontal="left" vertical="center"/>
    </xf>
    <xf numFmtId="0" fontId="65" fillId="3" borderId="2" xfId="1" applyNumberFormat="1" applyFont="1" applyFill="1" applyBorder="1" applyAlignment="1" applyProtection="1">
      <alignment horizontal="left" vertical="center"/>
    </xf>
    <xf numFmtId="0" fontId="65" fillId="3" borderId="3" xfId="1" applyNumberFormat="1" applyFont="1" applyFill="1" applyBorder="1" applyAlignment="1" applyProtection="1">
      <alignment horizontal="left" vertical="center"/>
    </xf>
    <xf numFmtId="0" fontId="65" fillId="3" borderId="50" xfId="1" applyNumberFormat="1" applyFont="1" applyFill="1" applyBorder="1" applyAlignment="1" applyProtection="1">
      <alignment horizontal="left" vertical="center"/>
    </xf>
    <xf numFmtId="0" fontId="48" fillId="0" borderId="51" xfId="0" applyFont="1" applyBorder="1" applyAlignment="1" applyProtection="1">
      <alignment horizontal="left" vertical="center" wrapText="1"/>
      <protection locked="0"/>
    </xf>
    <xf numFmtId="0" fontId="11" fillId="0" borderId="52" xfId="0" applyFont="1" applyBorder="1" applyAlignment="1" applyProtection="1">
      <alignment horizontal="left" vertical="center" wrapText="1"/>
      <protection locked="0"/>
    </xf>
    <xf numFmtId="0" fontId="11" fillId="0" borderId="55" xfId="0" applyFont="1" applyBorder="1" applyAlignment="1" applyProtection="1">
      <alignment horizontal="left" vertical="center" wrapText="1"/>
      <protection locked="0"/>
    </xf>
    <xf numFmtId="0" fontId="4" fillId="15" borderId="40" xfId="0" applyFont="1" applyFill="1" applyBorder="1" applyAlignment="1">
      <alignment horizontal="center" vertical="center" wrapText="1"/>
    </xf>
    <xf numFmtId="0" fontId="4" fillId="15" borderId="42" xfId="0" applyFont="1" applyFill="1" applyBorder="1" applyAlignment="1">
      <alignment horizontal="center" vertical="center" wrapText="1"/>
    </xf>
    <xf numFmtId="0" fontId="4" fillId="15" borderId="22" xfId="0" applyFont="1" applyFill="1" applyBorder="1" applyAlignment="1">
      <alignment horizontal="center" vertical="center" wrapText="1"/>
    </xf>
    <xf numFmtId="0" fontId="66" fillId="0" borderId="2" xfId="0" applyFont="1" applyBorder="1" applyAlignment="1" applyProtection="1">
      <alignment horizontal="left" vertical="center" wrapText="1"/>
      <protection locked="0"/>
    </xf>
    <xf numFmtId="0" fontId="66" fillId="0" borderId="3" xfId="0" applyFont="1" applyBorder="1" applyAlignment="1" applyProtection="1">
      <alignment horizontal="left" vertical="center" wrapText="1"/>
      <protection locked="0"/>
    </xf>
    <xf numFmtId="0" fontId="66" fillId="0" borderId="50" xfId="0" applyFont="1" applyBorder="1" applyAlignment="1" applyProtection="1">
      <alignment horizontal="left" vertical="center" wrapText="1"/>
      <protection locked="0"/>
    </xf>
    <xf numFmtId="0" fontId="44" fillId="15" borderId="26" xfId="0" applyFont="1" applyFill="1" applyBorder="1" applyAlignment="1">
      <alignment horizontal="center" vertical="center"/>
    </xf>
    <xf numFmtId="0" fontId="44" fillId="15" borderId="7" xfId="0" applyFont="1" applyFill="1" applyBorder="1" applyAlignment="1">
      <alignment horizontal="center" vertical="center"/>
    </xf>
    <xf numFmtId="0" fontId="44" fillId="15" borderId="27" xfId="0" applyFont="1" applyFill="1" applyBorder="1" applyAlignment="1">
      <alignment horizontal="center" vertical="center"/>
    </xf>
    <xf numFmtId="0" fontId="44" fillId="15" borderId="13" xfId="0" applyFont="1" applyFill="1" applyBorder="1" applyAlignment="1">
      <alignment horizontal="center" vertical="center"/>
    </xf>
    <xf numFmtId="0" fontId="44" fillId="15" borderId="0" xfId="0" applyFont="1" applyFill="1" applyAlignment="1">
      <alignment horizontal="center" vertical="center"/>
    </xf>
    <xf numFmtId="0" fontId="44" fillId="15" borderId="6" xfId="0" applyFont="1" applyFill="1" applyBorder="1" applyAlignment="1">
      <alignment horizontal="center" vertical="center"/>
    </xf>
    <xf numFmtId="0" fontId="44" fillId="15" borderId="8" xfId="0" applyFont="1" applyFill="1" applyBorder="1" applyAlignment="1">
      <alignment horizontal="center" vertical="center"/>
    </xf>
    <xf numFmtId="0" fontId="44" fillId="15" borderId="9" xfId="0" applyFont="1" applyFill="1" applyBorder="1" applyAlignment="1">
      <alignment horizontal="center" vertical="center"/>
    </xf>
    <xf numFmtId="0" fontId="44" fillId="15" borderId="10" xfId="0" applyFont="1" applyFill="1" applyBorder="1" applyAlignment="1">
      <alignment horizontal="center" vertical="center"/>
    </xf>
    <xf numFmtId="0" fontId="66" fillId="0" borderId="47" xfId="0" applyFont="1" applyBorder="1" applyAlignment="1" applyProtection="1">
      <alignment horizontal="left" vertical="center" wrapText="1"/>
      <protection locked="0"/>
    </xf>
    <xf numFmtId="0" fontId="66" fillId="0" borderId="48" xfId="0" applyFont="1" applyBorder="1" applyAlignment="1" applyProtection="1">
      <alignment horizontal="left" vertical="center" wrapText="1"/>
      <protection locked="0"/>
    </xf>
    <xf numFmtId="0" fontId="66" fillId="0" borderId="49" xfId="0" applyFont="1" applyBorder="1" applyAlignment="1" applyProtection="1">
      <alignment horizontal="left" vertical="center" wrapText="1"/>
      <protection locked="0"/>
    </xf>
    <xf numFmtId="0" fontId="5" fillId="0" borderId="47" xfId="0" applyFont="1" applyBorder="1" applyAlignment="1" applyProtection="1">
      <alignment horizontal="left" vertical="center"/>
      <protection locked="0"/>
    </xf>
    <xf numFmtId="0" fontId="5" fillId="0" borderId="48" xfId="0" applyFont="1" applyBorder="1" applyAlignment="1" applyProtection="1">
      <alignment horizontal="left" vertical="center"/>
      <protection locked="0"/>
    </xf>
    <xf numFmtId="0" fontId="5" fillId="0" borderId="49" xfId="0" applyFont="1" applyBorder="1" applyAlignment="1" applyProtection="1">
      <alignment horizontal="left" vertical="center"/>
      <protection locked="0"/>
    </xf>
    <xf numFmtId="0" fontId="2" fillId="3" borderId="2" xfId="0" applyFont="1" applyFill="1" applyBorder="1" applyAlignment="1" applyProtection="1">
      <alignment horizontal="left" vertical="center"/>
      <protection locked="0"/>
    </xf>
    <xf numFmtId="0" fontId="2" fillId="3" borderId="3" xfId="0" applyFont="1" applyFill="1" applyBorder="1" applyAlignment="1" applyProtection="1">
      <alignment horizontal="left" vertical="center"/>
      <protection locked="0"/>
    </xf>
    <xf numFmtId="0" fontId="2" fillId="3" borderId="50" xfId="0" applyFont="1" applyFill="1" applyBorder="1" applyAlignment="1" applyProtection="1">
      <alignment horizontal="left" vertical="center"/>
      <protection locked="0"/>
    </xf>
    <xf numFmtId="0" fontId="6" fillId="3" borderId="2" xfId="0" applyFont="1" applyFill="1" applyBorder="1" applyAlignment="1" applyProtection="1">
      <alignment horizontal="left" vertical="center"/>
      <protection locked="0"/>
    </xf>
    <xf numFmtId="0" fontId="6" fillId="3" borderId="3" xfId="0" applyFont="1" applyFill="1" applyBorder="1" applyAlignment="1" applyProtection="1">
      <alignment horizontal="left" vertical="center"/>
      <protection locked="0"/>
    </xf>
    <xf numFmtId="0" fontId="6" fillId="3" borderId="50" xfId="0" applyFont="1" applyFill="1" applyBorder="1" applyAlignment="1" applyProtection="1">
      <alignment horizontal="left" vertical="center"/>
      <protection locked="0"/>
    </xf>
    <xf numFmtId="0" fontId="48" fillId="3" borderId="2" xfId="0" applyFont="1" applyFill="1" applyBorder="1" applyAlignment="1" applyProtection="1">
      <alignment horizontal="left" vertical="center"/>
      <protection locked="0"/>
    </xf>
    <xf numFmtId="0" fontId="48" fillId="3" borderId="50" xfId="0" applyFont="1" applyFill="1" applyBorder="1" applyAlignment="1" applyProtection="1">
      <alignment horizontal="left" vertical="center"/>
      <protection locked="0"/>
    </xf>
    <xf numFmtId="0" fontId="48" fillId="3" borderId="3" xfId="0" applyFont="1" applyFill="1" applyBorder="1" applyAlignment="1" applyProtection="1">
      <alignment horizontal="left" vertical="center"/>
      <protection locked="0"/>
    </xf>
    <xf numFmtId="0" fontId="48" fillId="3" borderId="4" xfId="0" applyFont="1" applyFill="1" applyBorder="1" applyAlignment="1" applyProtection="1">
      <alignment horizontal="left" vertical="center"/>
      <protection locked="0"/>
    </xf>
    <xf numFmtId="0" fontId="48" fillId="3" borderId="51" xfId="0" applyFont="1" applyFill="1" applyBorder="1" applyAlignment="1" applyProtection="1">
      <alignment horizontal="left" vertical="center"/>
      <protection locked="0"/>
    </xf>
    <xf numFmtId="0" fontId="48" fillId="3" borderId="52" xfId="0" applyFont="1" applyFill="1" applyBorder="1" applyAlignment="1" applyProtection="1">
      <alignment horizontal="left" vertical="center"/>
      <protection locked="0"/>
    </xf>
    <xf numFmtId="0" fontId="48" fillId="3" borderId="53" xfId="0" applyFont="1" applyFill="1" applyBorder="1" applyAlignment="1" applyProtection="1">
      <alignment horizontal="left" vertical="center"/>
      <protection locked="0"/>
    </xf>
    <xf numFmtId="0" fontId="48" fillId="0" borderId="2" xfId="0" applyFont="1" applyBorder="1" applyAlignment="1" applyProtection="1">
      <alignment horizontal="center" vertical="center"/>
      <protection locked="0"/>
    </xf>
    <xf numFmtId="0" fontId="48" fillId="0" borderId="3" xfId="0" applyFont="1" applyBorder="1" applyAlignment="1" applyProtection="1">
      <alignment horizontal="center" vertical="center"/>
      <protection locked="0"/>
    </xf>
    <xf numFmtId="0" fontId="48" fillId="0" borderId="4" xfId="0" applyFont="1" applyBorder="1" applyAlignment="1" applyProtection="1">
      <alignment horizontal="center" vertical="center"/>
      <protection locked="0"/>
    </xf>
    <xf numFmtId="0" fontId="43" fillId="15" borderId="19" xfId="0" applyFont="1" applyFill="1" applyBorder="1" applyAlignment="1">
      <alignment horizontal="center" vertical="center"/>
    </xf>
    <xf numFmtId="0" fontId="43" fillId="15" borderId="20" xfId="0" applyFont="1" applyFill="1" applyBorder="1" applyAlignment="1">
      <alignment horizontal="center" vertical="center"/>
    </xf>
    <xf numFmtId="0" fontId="65" fillId="3" borderId="5" xfId="0" applyFont="1" applyFill="1" applyBorder="1" applyAlignment="1">
      <alignment horizontal="left" vertical="center"/>
    </xf>
    <xf numFmtId="0" fontId="65" fillId="3" borderId="25" xfId="0" applyFont="1" applyFill="1" applyBorder="1" applyAlignment="1">
      <alignment horizontal="left" vertical="center"/>
    </xf>
    <xf numFmtId="0" fontId="3" fillId="0" borderId="0" xfId="0" applyFont="1" applyAlignment="1" applyProtection="1">
      <alignment horizontal="center" vertical="center"/>
      <protection locked="0"/>
    </xf>
    <xf numFmtId="0" fontId="64" fillId="0" borderId="15" xfId="0" applyFont="1" applyBorder="1" applyAlignment="1">
      <alignment horizontal="left" vertical="center"/>
    </xf>
    <xf numFmtId="0" fontId="64" fillId="0" borderId="16" xfId="0" applyFont="1" applyBorder="1" applyAlignment="1">
      <alignment horizontal="left" vertical="center"/>
    </xf>
    <xf numFmtId="0" fontId="55" fillId="15" borderId="0" xfId="0" applyFont="1" applyFill="1" applyAlignment="1">
      <alignment horizontal="center" vertical="center"/>
    </xf>
    <xf numFmtId="0" fontId="43" fillId="15" borderId="14" xfId="0" applyFont="1" applyFill="1" applyBorder="1" applyAlignment="1">
      <alignment horizontal="center" vertical="center"/>
    </xf>
    <xf numFmtId="0" fontId="43" fillId="15" borderId="15" xfId="0" applyFont="1" applyFill="1" applyBorder="1" applyAlignment="1">
      <alignment horizontal="center" vertical="center"/>
    </xf>
    <xf numFmtId="0" fontId="43" fillId="15" borderId="24" xfId="0" applyFont="1" applyFill="1" applyBorder="1" applyAlignment="1">
      <alignment horizontal="center" vertical="center"/>
    </xf>
    <xf numFmtId="0" fontId="43" fillId="15" borderId="5" xfId="0" applyFont="1" applyFill="1" applyBorder="1" applyAlignment="1">
      <alignment horizontal="center" vertical="center"/>
    </xf>
    <xf numFmtId="0" fontId="64" fillId="3" borderId="40" xfId="0" applyFont="1" applyFill="1" applyBorder="1" applyAlignment="1" applyProtection="1">
      <alignment horizontal="left" vertical="center" wrapText="1"/>
      <protection locked="0"/>
    </xf>
    <xf numFmtId="0" fontId="64" fillId="3" borderId="42" xfId="0" applyFont="1" applyFill="1" applyBorder="1" applyAlignment="1" applyProtection="1">
      <alignment horizontal="left" vertical="center" wrapText="1"/>
      <protection locked="0"/>
    </xf>
    <xf numFmtId="0" fontId="64" fillId="3" borderId="39" xfId="0" applyFont="1" applyFill="1" applyBorder="1" applyAlignment="1" applyProtection="1">
      <alignment horizontal="left" vertical="center" wrapText="1"/>
      <protection locked="0"/>
    </xf>
    <xf numFmtId="0" fontId="64" fillId="3" borderId="41" xfId="0" applyFont="1" applyFill="1" applyBorder="1" applyAlignment="1" applyProtection="1">
      <alignment horizontal="left" vertical="center" wrapText="1"/>
      <protection locked="0"/>
    </xf>
    <xf numFmtId="0" fontId="64" fillId="3" borderId="12" xfId="0" applyFont="1" applyFill="1" applyBorder="1" applyAlignment="1" applyProtection="1">
      <alignment horizontal="left" vertical="center" wrapText="1"/>
      <protection locked="0"/>
    </xf>
    <xf numFmtId="0" fontId="64" fillId="3" borderId="43" xfId="0" applyFont="1" applyFill="1" applyBorder="1" applyAlignment="1" applyProtection="1">
      <alignment horizontal="left" vertical="center" wrapText="1"/>
      <protection locked="0"/>
    </xf>
    <xf numFmtId="0" fontId="56" fillId="15" borderId="0" xfId="0" applyFont="1" applyFill="1" applyAlignment="1">
      <alignment horizontal="center" vertical="center"/>
    </xf>
    <xf numFmtId="43" fontId="51" fillId="3" borderId="2" xfId="1" applyFont="1" applyFill="1" applyBorder="1" applyAlignment="1" applyProtection="1">
      <alignment horizontal="left" vertical="center"/>
    </xf>
    <xf numFmtId="43" fontId="51" fillId="3" borderId="3" xfId="1" applyFont="1" applyFill="1" applyBorder="1" applyAlignment="1" applyProtection="1">
      <alignment horizontal="left" vertical="center"/>
    </xf>
    <xf numFmtId="43" fontId="51" fillId="3" borderId="4" xfId="1" applyFont="1" applyFill="1" applyBorder="1" applyAlignment="1" applyProtection="1">
      <alignment horizontal="left" vertical="center"/>
    </xf>
    <xf numFmtId="0" fontId="51" fillId="3" borderId="2" xfId="1" applyNumberFormat="1" applyFont="1" applyFill="1" applyBorder="1" applyAlignment="1" applyProtection="1">
      <alignment horizontal="left" vertical="center"/>
    </xf>
    <xf numFmtId="0" fontId="51" fillId="3" borderId="3" xfId="1" applyNumberFormat="1" applyFont="1" applyFill="1" applyBorder="1" applyAlignment="1" applyProtection="1">
      <alignment horizontal="left" vertical="center"/>
    </xf>
    <xf numFmtId="0" fontId="51" fillId="3" borderId="4" xfId="1" applyNumberFormat="1" applyFont="1" applyFill="1" applyBorder="1" applyAlignment="1" applyProtection="1">
      <alignment horizontal="left" vertical="center"/>
    </xf>
    <xf numFmtId="0" fontId="44" fillId="15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44" fillId="16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 applyProtection="1">
      <alignment horizontal="center" vertical="center" wrapText="1"/>
      <protection locked="0"/>
    </xf>
    <xf numFmtId="0" fontId="30" fillId="16" borderId="31" xfId="0" applyFont="1" applyFill="1" applyBorder="1" applyAlignment="1">
      <alignment horizontal="center" vertical="center" textRotation="90"/>
    </xf>
    <xf numFmtId="0" fontId="30" fillId="16" borderId="29" xfId="0" applyFont="1" applyFill="1" applyBorder="1" applyAlignment="1">
      <alignment horizontal="center" vertical="center" textRotation="90"/>
    </xf>
    <xf numFmtId="0" fontId="30" fillId="16" borderId="30" xfId="0" applyFont="1" applyFill="1" applyBorder="1" applyAlignment="1">
      <alignment horizontal="center" vertical="center"/>
    </xf>
    <xf numFmtId="0" fontId="30" fillId="16" borderId="35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left" wrapText="1"/>
    </xf>
    <xf numFmtId="0" fontId="44" fillId="7" borderId="26" xfId="0" applyFont="1" applyFill="1" applyBorder="1" applyAlignment="1">
      <alignment horizontal="center" vertical="center" wrapText="1"/>
    </xf>
    <xf numFmtId="0" fontId="44" fillId="7" borderId="7" xfId="0" applyFont="1" applyFill="1" applyBorder="1" applyAlignment="1">
      <alignment horizontal="center" vertical="center" wrapText="1"/>
    </xf>
    <xf numFmtId="0" fontId="44" fillId="7" borderId="13" xfId="0" applyFont="1" applyFill="1" applyBorder="1" applyAlignment="1">
      <alignment horizontal="center" vertical="center" wrapText="1"/>
    </xf>
    <xf numFmtId="0" fontId="44" fillId="7" borderId="0" xfId="0" applyFont="1" applyFill="1" applyAlignment="1">
      <alignment horizontal="center" vertical="center" wrapText="1"/>
    </xf>
    <xf numFmtId="43" fontId="5" fillId="3" borderId="1" xfId="1" applyFont="1" applyFill="1" applyBorder="1" applyAlignment="1">
      <alignment horizontal="left" vertical="center" wrapText="1"/>
    </xf>
    <xf numFmtId="43" fontId="2" fillId="3" borderId="1" xfId="1" applyFont="1" applyFill="1" applyBorder="1" applyAlignment="1">
      <alignment horizontal="left" vertical="center" wrapText="1"/>
    </xf>
    <xf numFmtId="0" fontId="6" fillId="3" borderId="2" xfId="0" applyFont="1" applyFill="1" applyBorder="1" applyAlignment="1" applyProtection="1">
      <alignment horizontal="left" wrapText="1"/>
      <protection locked="0"/>
    </xf>
    <xf numFmtId="0" fontId="6" fillId="3" borderId="3" xfId="0" applyFont="1" applyFill="1" applyBorder="1" applyAlignment="1" applyProtection="1">
      <alignment horizontal="left" wrapText="1"/>
      <protection locked="0"/>
    </xf>
    <xf numFmtId="0" fontId="6" fillId="3" borderId="4" xfId="0" applyFont="1" applyFill="1" applyBorder="1" applyAlignment="1" applyProtection="1">
      <alignment horizontal="left" wrapText="1"/>
      <protection locked="0"/>
    </xf>
    <xf numFmtId="0" fontId="6" fillId="3" borderId="2" xfId="0" applyFont="1" applyFill="1" applyBorder="1" applyAlignment="1" applyProtection="1">
      <alignment horizontal="left" vertical="center" wrapText="1"/>
      <protection locked="0"/>
    </xf>
    <xf numFmtId="0" fontId="6" fillId="3" borderId="3" xfId="0" applyFont="1" applyFill="1" applyBorder="1" applyAlignment="1" applyProtection="1">
      <alignment horizontal="left" vertical="center" wrapText="1"/>
      <protection locked="0"/>
    </xf>
    <xf numFmtId="0" fontId="6" fillId="3" borderId="4" xfId="0" applyFont="1" applyFill="1" applyBorder="1" applyAlignment="1" applyProtection="1">
      <alignment horizontal="left" vertical="center" wrapText="1"/>
      <protection locked="0"/>
    </xf>
    <xf numFmtId="1" fontId="6" fillId="0" borderId="2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43" fontId="5" fillId="3" borderId="2" xfId="1" applyFont="1" applyFill="1" applyBorder="1" applyAlignment="1">
      <alignment horizontal="center" vertical="center"/>
    </xf>
    <xf numFmtId="43" fontId="5" fillId="3" borderId="3" xfId="1" applyFont="1" applyFill="1" applyBorder="1" applyAlignment="1">
      <alignment horizontal="center" vertical="center"/>
    </xf>
    <xf numFmtId="43" fontId="5" fillId="3" borderId="4" xfId="1" applyFont="1" applyFill="1" applyBorder="1" applyAlignment="1">
      <alignment horizontal="center" vertical="center"/>
    </xf>
    <xf numFmtId="43" fontId="2" fillId="3" borderId="2" xfId="1" applyFont="1" applyFill="1" applyBorder="1" applyAlignment="1">
      <alignment horizontal="center" vertical="center"/>
    </xf>
    <xf numFmtId="43" fontId="2" fillId="3" borderId="3" xfId="1" applyFont="1" applyFill="1" applyBorder="1" applyAlignment="1">
      <alignment horizontal="center" vertical="center"/>
    </xf>
    <xf numFmtId="43" fontId="2" fillId="3" borderId="4" xfId="1" applyFont="1" applyFill="1" applyBorder="1" applyAlignment="1">
      <alignment horizontal="center" vertical="center"/>
    </xf>
    <xf numFmtId="0" fontId="6" fillId="3" borderId="2" xfId="0" applyFont="1" applyFill="1" applyBorder="1" applyAlignment="1" applyProtection="1">
      <alignment horizontal="left"/>
      <protection locked="0"/>
    </xf>
    <xf numFmtId="0" fontId="6" fillId="3" borderId="3" xfId="0" applyFont="1" applyFill="1" applyBorder="1" applyAlignment="1" applyProtection="1">
      <alignment horizontal="left"/>
      <protection locked="0"/>
    </xf>
    <xf numFmtId="0" fontId="6" fillId="3" borderId="4" xfId="0" applyFont="1" applyFill="1" applyBorder="1" applyAlignment="1" applyProtection="1">
      <alignment horizontal="left"/>
      <protection locked="0"/>
    </xf>
    <xf numFmtId="1" fontId="6" fillId="0" borderId="2" xfId="0" applyNumberFormat="1" applyFont="1" applyBorder="1" applyAlignment="1">
      <alignment horizontal="center" wrapText="1"/>
    </xf>
    <xf numFmtId="1" fontId="6" fillId="0" borderId="3" xfId="0" applyNumberFormat="1" applyFont="1" applyBorder="1" applyAlignment="1">
      <alignment horizontal="center" wrapText="1"/>
    </xf>
    <xf numFmtId="1" fontId="6" fillId="0" borderId="4" xfId="0" applyNumberFormat="1" applyFont="1" applyBorder="1" applyAlignment="1">
      <alignment horizontal="center" wrapText="1"/>
    </xf>
    <xf numFmtId="0" fontId="45" fillId="8" borderId="2" xfId="6" applyFont="1" applyFill="1" applyBorder="1" applyAlignment="1">
      <alignment horizontal="center" vertical="center" wrapText="1"/>
    </xf>
    <xf numFmtId="0" fontId="45" fillId="8" borderId="4" xfId="6" applyFont="1" applyFill="1" applyBorder="1" applyAlignment="1">
      <alignment horizontal="center" vertical="center" wrapText="1"/>
    </xf>
    <xf numFmtId="0" fontId="38" fillId="14" borderId="1" xfId="0" applyFont="1" applyFill="1" applyBorder="1" applyAlignment="1">
      <alignment horizontal="center" vertical="center" wrapText="1"/>
    </xf>
    <xf numFmtId="0" fontId="45" fillId="6" borderId="1" xfId="6" applyFont="1" applyFill="1" applyBorder="1" applyAlignment="1">
      <alignment horizontal="center" vertical="center" wrapText="1"/>
    </xf>
    <xf numFmtId="0" fontId="45" fillId="6" borderId="2" xfId="6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45" fillId="6" borderId="4" xfId="6" applyFont="1" applyFill="1" applyBorder="1" applyAlignment="1">
      <alignment horizontal="center" vertical="center" wrapText="1"/>
    </xf>
    <xf numFmtId="0" fontId="45" fillId="15" borderId="8" xfId="6" applyFont="1" applyFill="1" applyBorder="1" applyAlignment="1">
      <alignment horizontal="center" vertical="center" wrapText="1"/>
    </xf>
    <xf numFmtId="0" fontId="45" fillId="15" borderId="9" xfId="6" applyFont="1" applyFill="1" applyBorder="1" applyAlignment="1">
      <alignment horizontal="center" vertical="center" wrapText="1"/>
    </xf>
    <xf numFmtId="0" fontId="57" fillId="15" borderId="14" xfId="0" applyFont="1" applyFill="1" applyBorder="1" applyAlignment="1">
      <alignment horizontal="center" vertical="center"/>
    </xf>
    <xf numFmtId="0" fontId="57" fillId="15" borderId="16" xfId="0" applyFont="1" applyFill="1" applyBorder="1" applyAlignment="1">
      <alignment horizontal="center" vertical="center"/>
    </xf>
    <xf numFmtId="0" fontId="60" fillId="17" borderId="34" xfId="0" applyFont="1" applyFill="1" applyBorder="1" applyAlignment="1">
      <alignment horizontal="center" vertical="center" wrapText="1"/>
    </xf>
    <xf numFmtId="0" fontId="60" fillId="17" borderId="30" xfId="0" applyFont="1" applyFill="1" applyBorder="1" applyAlignment="1">
      <alignment horizontal="center" vertical="center" wrapText="1"/>
    </xf>
    <xf numFmtId="0" fontId="60" fillId="17" borderId="35" xfId="0" applyFont="1" applyFill="1" applyBorder="1" applyAlignment="1">
      <alignment horizontal="center" vertical="center" wrapText="1"/>
    </xf>
    <xf numFmtId="0" fontId="61" fillId="15" borderId="36" xfId="0" applyFont="1" applyFill="1" applyBorder="1" applyAlignment="1">
      <alignment horizontal="center" vertical="center"/>
    </xf>
    <xf numFmtId="0" fontId="61" fillId="15" borderId="37" xfId="0" applyFont="1" applyFill="1" applyBorder="1" applyAlignment="1">
      <alignment horizontal="center" vertical="center"/>
    </xf>
    <xf numFmtId="0" fontId="61" fillId="15" borderId="38" xfId="0" applyFont="1" applyFill="1" applyBorder="1" applyAlignment="1">
      <alignment horizontal="center" vertical="center"/>
    </xf>
    <xf numFmtId="0" fontId="60" fillId="17" borderId="8" xfId="0" applyFont="1" applyFill="1" applyBorder="1" applyAlignment="1">
      <alignment horizontal="center" vertical="center" wrapText="1"/>
    </xf>
    <xf numFmtId="0" fontId="60" fillId="17" borderId="9" xfId="0" applyFont="1" applyFill="1" applyBorder="1" applyAlignment="1">
      <alignment horizontal="center" vertical="center" wrapText="1"/>
    </xf>
    <xf numFmtId="0" fontId="60" fillId="17" borderId="10" xfId="0" applyFont="1" applyFill="1" applyBorder="1" applyAlignment="1">
      <alignment horizontal="center" vertical="center" wrapText="1"/>
    </xf>
  </cellXfs>
  <cellStyles count="8">
    <cellStyle name="Normal" xfId="0" builtinId="0"/>
    <cellStyle name="Normal 2" xfId="3" xr:uid="{C24791CC-E034-43A0-B78B-C12C5CDAA38C}"/>
    <cellStyle name="Normal 2 2" xfId="6" xr:uid="{4D44623C-34E4-480C-A121-09CA36FF1D6E}"/>
    <cellStyle name="Normal 4" xfId="4" xr:uid="{9284E776-068B-42F6-A9E2-FA071F47CB27}"/>
    <cellStyle name="Normal_Custos Combustível Frota 2007" xfId="5" xr:uid="{3BAB2742-A6A4-4EFA-BBAA-75971CD72154}"/>
    <cellStyle name="Porcentagem" xfId="2" builtinId="5"/>
    <cellStyle name="Ruim" xfId="7" builtinId="27"/>
    <cellStyle name="Vírgula" xfId="1" builtinId="3"/>
  </cellStyles>
  <dxfs count="13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33" formatCode="_-* #,##0_-;\-* #,##0_-;_-* &quot;-&quot;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6"/>
        <family val="2"/>
      </font>
      <alignment vertical="center" textRotation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Segoe U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Segoe U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 style="thin">
          <color indexed="64"/>
        </vertic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 style="thin">
          <color indexed="64"/>
        </vertical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Segoe UI"/>
        <family val="2"/>
        <scheme val="none"/>
      </font>
      <numFmt numFmtId="0" formatCode="General"/>
      <alignment horizontal="left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Segoe UI"/>
        <family val="2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2400" b="1" u="sng"/>
              <a:t>Dispersão de Riscos Inerentes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Dispersão de Riscos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2">
                    <a:alpha val="60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0-A42E-436D-9B43-E2B32DC205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1-A42E-436D-9B43-E2B32DC205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0-C4F8-4ECF-8C5A-CF2B98DAAFC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1-C4F8-4ECF-8C5A-CF2B98DAAFC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2-C4F8-4ECF-8C5A-CF2B98DAAFC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3-C4F8-4ECF-8C5A-CF2B98DAAFC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4-C4F8-4ECF-8C5A-CF2B98DAAFC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5-C4F8-4ECF-8C5A-CF2B98DAAFC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4F8-4ECF-8C5A-CF2B98DAAFCF}"/>
                </c:ext>
              </c:extLst>
            </c:dLbl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'Matriz de Riscos e Controles'!$F$12:$F$20</c:f>
              <c:numCache>
                <c:formatCode>General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</c:numCache>
            </c:numRef>
          </c:xVal>
          <c:yVal>
            <c:numRef>
              <c:f>'Matriz de Riscos e Controles'!$H$12:$H$20</c:f>
              <c:numCache>
                <c:formatCode>General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'Matriz de Riscos e Controles'!$C$12:$C$20</c15:f>
                <c15:dlblRangeCache>
                  <c:ptCount val="9"/>
                  <c:pt idx="0">
                    <c:v> R1 </c:v>
                  </c:pt>
                  <c:pt idx="1">
                    <c:v> R2 </c:v>
                  </c:pt>
                  <c:pt idx="2">
                    <c:v> R3 </c:v>
                  </c:pt>
                  <c:pt idx="3">
                    <c:v> R4 </c:v>
                  </c:pt>
                  <c:pt idx="4">
                    <c:v> R5 </c:v>
                  </c:pt>
                  <c:pt idx="5">
                    <c:v> R6 </c:v>
                  </c:pt>
                  <c:pt idx="6">
                    <c:v> R7 </c:v>
                  </c:pt>
                  <c:pt idx="7">
                    <c:v> R8 </c:v>
                  </c:pt>
                  <c:pt idx="8">
                    <c:v> R9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A42E-436D-9B43-E2B32DC205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397140047"/>
        <c:axId val="1397136687"/>
      </c:scatterChart>
      <c:valAx>
        <c:axId val="1397140047"/>
        <c:scaling>
          <c:orientation val="minMax"/>
          <c:max val="5.5"/>
          <c:min val="0.5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="1"/>
                  <a:t>Probabilidade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crossAx val="1397136687"/>
        <c:crossesAt val="0"/>
        <c:crossBetween val="midCat"/>
        <c:majorUnit val="1"/>
      </c:valAx>
      <c:valAx>
        <c:axId val="1397136687"/>
        <c:scaling>
          <c:orientation val="minMax"/>
          <c:max val="5.5"/>
          <c:min val="0.5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="1"/>
                  <a:t>Impacto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crossAx val="1397140047"/>
        <c:crosses val="autoZero"/>
        <c:crossBetween val="midCat"/>
        <c:majorUnit val="1"/>
        <c:minorUnit val="0.5"/>
      </c:valAx>
      <c:spPr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25400">
          <a:solidFill>
            <a:schemeClr val="accent1"/>
          </a:solidFill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Escalas de Controles'!A1"/><Relationship Id="rId18" Type="http://schemas.openxmlformats.org/officeDocument/2006/relationships/image" Target="../media/image7.png"/><Relationship Id="rId26" Type="http://schemas.openxmlformats.org/officeDocument/2006/relationships/image" Target="../media/image15.png"/><Relationship Id="rId3" Type="http://schemas.openxmlformats.org/officeDocument/2006/relationships/image" Target="../media/image2.svg"/><Relationship Id="rId21" Type="http://schemas.openxmlformats.org/officeDocument/2006/relationships/image" Target="../media/image10.svg"/><Relationship Id="rId7" Type="http://schemas.openxmlformats.org/officeDocument/2006/relationships/hyperlink" Target="#Tabelas!A1"/><Relationship Id="rId12" Type="http://schemas.openxmlformats.org/officeDocument/2006/relationships/hyperlink" Target="#Vulnerabilidades!A1"/><Relationship Id="rId17" Type="http://schemas.openxmlformats.org/officeDocument/2006/relationships/image" Target="../media/image6.svg"/><Relationship Id="rId25" Type="http://schemas.openxmlformats.org/officeDocument/2006/relationships/image" Target="../media/image14.svg"/><Relationship Id="rId33" Type="http://schemas.openxmlformats.org/officeDocument/2006/relationships/image" Target="../media/image22.svg"/><Relationship Id="rId2" Type="http://schemas.openxmlformats.org/officeDocument/2006/relationships/image" Target="../media/image1.png"/><Relationship Id="rId16" Type="http://schemas.openxmlformats.org/officeDocument/2006/relationships/image" Target="../media/image5.png"/><Relationship Id="rId20" Type="http://schemas.openxmlformats.org/officeDocument/2006/relationships/image" Target="../media/image9.png"/><Relationship Id="rId29" Type="http://schemas.openxmlformats.org/officeDocument/2006/relationships/image" Target="../media/image18.svg"/><Relationship Id="rId1" Type="http://schemas.openxmlformats.org/officeDocument/2006/relationships/hyperlink" Target="#'Identifica&#231;&#227;o e An&#225;lise'!A1"/><Relationship Id="rId6" Type="http://schemas.openxmlformats.org/officeDocument/2006/relationships/hyperlink" Target="#'Matriz de Planejamento'!A1"/><Relationship Id="rId11" Type="http://schemas.openxmlformats.org/officeDocument/2006/relationships/hyperlink" Target="#Orienta&#231;&#245;es!A1"/><Relationship Id="rId24" Type="http://schemas.openxmlformats.org/officeDocument/2006/relationships/image" Target="../media/image13.png"/><Relationship Id="rId32" Type="http://schemas.openxmlformats.org/officeDocument/2006/relationships/image" Target="../media/image21.png"/><Relationship Id="rId5" Type="http://schemas.openxmlformats.org/officeDocument/2006/relationships/hyperlink" Target="#'Matriz de Riscos e Controles'!A1"/><Relationship Id="rId15" Type="http://schemas.openxmlformats.org/officeDocument/2006/relationships/image" Target="../media/image4.svg"/><Relationship Id="rId23" Type="http://schemas.openxmlformats.org/officeDocument/2006/relationships/image" Target="../media/image12.svg"/><Relationship Id="rId28" Type="http://schemas.openxmlformats.org/officeDocument/2006/relationships/image" Target="../media/image17.png"/><Relationship Id="rId10" Type="http://schemas.openxmlformats.org/officeDocument/2006/relationships/hyperlink" Target="#Listas!A1"/><Relationship Id="rId19" Type="http://schemas.openxmlformats.org/officeDocument/2006/relationships/image" Target="../media/image8.svg"/><Relationship Id="rId31" Type="http://schemas.openxmlformats.org/officeDocument/2006/relationships/image" Target="../media/image20.svg"/><Relationship Id="rId4" Type="http://schemas.openxmlformats.org/officeDocument/2006/relationships/hyperlink" Target="#Entendimento!A1"/><Relationship Id="rId9" Type="http://schemas.openxmlformats.org/officeDocument/2006/relationships/hyperlink" Target="#'Planos de A&#231;&#227;o'!A1"/><Relationship Id="rId14" Type="http://schemas.openxmlformats.org/officeDocument/2006/relationships/image" Target="../media/image3.png"/><Relationship Id="rId22" Type="http://schemas.openxmlformats.org/officeDocument/2006/relationships/image" Target="../media/image11.png"/><Relationship Id="rId27" Type="http://schemas.openxmlformats.org/officeDocument/2006/relationships/image" Target="../media/image16.svg"/><Relationship Id="rId30" Type="http://schemas.openxmlformats.org/officeDocument/2006/relationships/image" Target="../media/image19.png"/><Relationship Id="rId8" Type="http://schemas.openxmlformats.org/officeDocument/2006/relationships/hyperlink" Target="#'Matriz de Achados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svg"/><Relationship Id="rId1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svg"/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'Matriz de Achados'!A1"/><Relationship Id="rId2" Type="http://schemas.openxmlformats.org/officeDocument/2006/relationships/hyperlink" Target="#Tabelas!A1"/><Relationship Id="rId1" Type="http://schemas.openxmlformats.org/officeDocument/2006/relationships/hyperlink" Target="#'Matriz de Riscos e Controles'!A1"/><Relationship Id="rId6" Type="http://schemas.openxmlformats.org/officeDocument/2006/relationships/hyperlink" Target="#Vulnerabilidades!A1"/><Relationship Id="rId5" Type="http://schemas.openxmlformats.org/officeDocument/2006/relationships/hyperlink" Target="#Orienta&#231;&#245;es!A1"/><Relationship Id="rId4" Type="http://schemas.openxmlformats.org/officeDocument/2006/relationships/hyperlink" Target="#'Planos de A&#231;&#227;o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svg"/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'Planos de A&#231;&#227;o'!A1"/><Relationship Id="rId2" Type="http://schemas.openxmlformats.org/officeDocument/2006/relationships/hyperlink" Target="#'Matriz de Achados'!A1"/><Relationship Id="rId1" Type="http://schemas.openxmlformats.org/officeDocument/2006/relationships/hyperlink" Target="#Tabelas!A1"/><Relationship Id="rId5" Type="http://schemas.openxmlformats.org/officeDocument/2006/relationships/hyperlink" Target="#Vulnerabilidades!A1"/><Relationship Id="rId4" Type="http://schemas.openxmlformats.org/officeDocument/2006/relationships/hyperlink" Target="#Orienta&#231;&#245;es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Tabelas!A1"/><Relationship Id="rId7" Type="http://schemas.openxmlformats.org/officeDocument/2006/relationships/hyperlink" Target="#Vulnerabilidades!A1"/><Relationship Id="rId2" Type="http://schemas.openxmlformats.org/officeDocument/2006/relationships/hyperlink" Target="#'Matriz de Riscos e Controles'!A1"/><Relationship Id="rId1" Type="http://schemas.openxmlformats.org/officeDocument/2006/relationships/hyperlink" Target="#Entendimento!A1"/><Relationship Id="rId6" Type="http://schemas.openxmlformats.org/officeDocument/2006/relationships/hyperlink" Target="#Orienta&#231;&#245;es!A1"/><Relationship Id="rId5" Type="http://schemas.openxmlformats.org/officeDocument/2006/relationships/hyperlink" Target="#'Planos de A&#231;&#227;o'!A1"/><Relationship Id="rId4" Type="http://schemas.openxmlformats.org/officeDocument/2006/relationships/hyperlink" Target="#'Matriz de Achado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34251</xdr:colOff>
      <xdr:row>2</xdr:row>
      <xdr:rowOff>20265</xdr:rowOff>
    </xdr:from>
    <xdr:to>
      <xdr:col>1</xdr:col>
      <xdr:colOff>718294</xdr:colOff>
      <xdr:row>3</xdr:row>
      <xdr:rowOff>879</xdr:rowOff>
    </xdr:to>
    <xdr:sp macro="" textlink="">
      <xdr:nvSpPr>
        <xdr:cNvPr id="178" name="Retângulo: Cantos Arredondados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34251" y="328308"/>
          <a:ext cx="1227171" cy="134635"/>
        </a:xfrm>
        <a:prstGeom prst="roundRect">
          <a:avLst/>
        </a:prstGeom>
        <a:gradFill flip="none" rotWithShape="1">
          <a:gsLst>
            <a:gs pos="18000">
              <a:srgbClr val="002060"/>
            </a:gs>
            <a:gs pos="82000">
              <a:srgbClr val="92D050">
                <a:alpha val="76000"/>
                <a:lumMod val="77000"/>
              </a:srgbClr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143618</xdr:colOff>
      <xdr:row>2</xdr:row>
      <xdr:rowOff>27494</xdr:rowOff>
    </xdr:from>
    <xdr:to>
      <xdr:col>1</xdr:col>
      <xdr:colOff>737681</xdr:colOff>
      <xdr:row>2</xdr:row>
      <xdr:rowOff>137808</xdr:rowOff>
    </xdr:to>
    <xdr:sp macro="" textlink="">
      <xdr:nvSpPr>
        <xdr:cNvPr id="5" name="CaixaDeText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43618" y="335537"/>
          <a:ext cx="1137191" cy="1103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>
              <a:solidFill>
                <a:schemeClr val="bg1"/>
              </a:solidFill>
            </a:rPr>
            <a:t>Identificação e Análise</a:t>
          </a:r>
        </a:p>
        <a:p>
          <a:pPr algn="l"/>
          <a:endParaRPr lang="pt-BR" sz="800"/>
        </a:p>
      </xdr:txBody>
    </xdr:sp>
    <xdr:clientData/>
  </xdr:twoCellAnchor>
  <xdr:twoCellAnchor editAs="oneCell">
    <xdr:from>
      <xdr:col>0</xdr:col>
      <xdr:colOff>96096</xdr:colOff>
      <xdr:row>2</xdr:row>
      <xdr:rowOff>44077</xdr:rowOff>
    </xdr:from>
    <xdr:to>
      <xdr:col>0</xdr:col>
      <xdr:colOff>218241</xdr:colOff>
      <xdr:row>2</xdr:row>
      <xdr:rowOff>146792</xdr:rowOff>
    </xdr:to>
    <xdr:pic>
      <xdr:nvPicPr>
        <xdr:cNvPr id="166" name="Gráfico 165" descr="Pesquisa com preenchimento sólido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6096" y="352120"/>
          <a:ext cx="122145" cy="102715"/>
        </a:xfrm>
        <a:prstGeom prst="rect">
          <a:avLst/>
        </a:prstGeom>
      </xdr:spPr>
    </xdr:pic>
    <xdr:clientData/>
  </xdr:twoCellAnchor>
  <xdr:twoCellAnchor>
    <xdr:from>
      <xdr:col>0</xdr:col>
      <xdr:colOff>116663</xdr:colOff>
      <xdr:row>1</xdr:row>
      <xdr:rowOff>38775</xdr:rowOff>
    </xdr:from>
    <xdr:to>
      <xdr:col>1</xdr:col>
      <xdr:colOff>733626</xdr:colOff>
      <xdr:row>1</xdr:row>
      <xdr:rowOff>145914</xdr:rowOff>
    </xdr:to>
    <xdr:sp macro="" textlink="">
      <xdr:nvSpPr>
        <xdr:cNvPr id="2" name="CaixaDeTexto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6663" y="192796"/>
          <a:ext cx="1160091" cy="107139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>
              <a:solidFill>
                <a:schemeClr val="bg1"/>
              </a:solidFill>
            </a:rPr>
            <a:t>Entendimento</a:t>
          </a:r>
        </a:p>
        <a:p>
          <a:pPr algn="l"/>
          <a:endParaRPr lang="pt-BR" sz="800"/>
        </a:p>
      </xdr:txBody>
    </xdr:sp>
    <xdr:clientData/>
  </xdr:twoCellAnchor>
  <xdr:twoCellAnchor>
    <xdr:from>
      <xdr:col>0</xdr:col>
      <xdr:colOff>149967</xdr:colOff>
      <xdr:row>3</xdr:row>
      <xdr:rowOff>31209</xdr:rowOff>
    </xdr:from>
    <xdr:to>
      <xdr:col>1</xdr:col>
      <xdr:colOff>729574</xdr:colOff>
      <xdr:row>3</xdr:row>
      <xdr:rowOff>133755</xdr:rowOff>
    </xdr:to>
    <xdr:sp macro="" textlink="">
      <xdr:nvSpPr>
        <xdr:cNvPr id="7" name="CaixaDeText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9967" y="493273"/>
          <a:ext cx="1122735" cy="102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>
              <a:solidFill>
                <a:schemeClr val="bg1"/>
              </a:solidFill>
            </a:rPr>
            <a:t>Riscos e Controles</a:t>
          </a:r>
        </a:p>
      </xdr:txBody>
    </xdr:sp>
    <xdr:clientData/>
  </xdr:twoCellAnchor>
  <xdr:twoCellAnchor>
    <xdr:from>
      <xdr:col>0</xdr:col>
      <xdr:colOff>145916</xdr:colOff>
      <xdr:row>4</xdr:row>
      <xdr:rowOff>12159</xdr:rowOff>
    </xdr:from>
    <xdr:to>
      <xdr:col>1</xdr:col>
      <xdr:colOff>734506</xdr:colOff>
      <xdr:row>4</xdr:row>
      <xdr:rowOff>136930</xdr:rowOff>
    </xdr:to>
    <xdr:sp macro="" textlink="">
      <xdr:nvSpPr>
        <xdr:cNvPr id="9" name="CaixaDeText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5916" y="628244"/>
          <a:ext cx="1131718" cy="124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>
              <a:solidFill>
                <a:schemeClr val="bg1"/>
              </a:solidFill>
            </a:rPr>
            <a:t>Matriz</a:t>
          </a:r>
          <a:r>
            <a:rPr lang="pt-BR" sz="800" baseline="0">
              <a:solidFill>
                <a:schemeClr val="bg1"/>
              </a:solidFill>
            </a:rPr>
            <a:t> Planejamento</a:t>
          </a:r>
          <a:endParaRPr lang="pt-BR" sz="800">
            <a:solidFill>
              <a:schemeClr val="bg1"/>
            </a:solidFill>
          </a:endParaRPr>
        </a:p>
        <a:p>
          <a:endParaRPr lang="pt-BR" sz="1100"/>
        </a:p>
      </xdr:txBody>
    </xdr:sp>
    <xdr:clientData/>
  </xdr:twoCellAnchor>
  <xdr:twoCellAnchor>
    <xdr:from>
      <xdr:col>0</xdr:col>
      <xdr:colOff>174288</xdr:colOff>
      <xdr:row>8</xdr:row>
      <xdr:rowOff>40532</xdr:rowOff>
    </xdr:from>
    <xdr:to>
      <xdr:col>1</xdr:col>
      <xdr:colOff>726399</xdr:colOff>
      <xdr:row>8</xdr:row>
      <xdr:rowOff>145915</xdr:rowOff>
    </xdr:to>
    <xdr:sp macro="" textlink="">
      <xdr:nvSpPr>
        <xdr:cNvPr id="11" name="CaixaDeText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74288" y="1272702"/>
          <a:ext cx="1095239" cy="105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>
              <a:solidFill>
                <a:schemeClr val="bg1"/>
              </a:solidFill>
            </a:rPr>
            <a:t>Tabelas</a:t>
          </a:r>
        </a:p>
        <a:p>
          <a:pPr algn="l"/>
          <a:endParaRPr lang="pt-BR" sz="800"/>
        </a:p>
      </xdr:txBody>
    </xdr:sp>
    <xdr:clientData/>
  </xdr:twoCellAnchor>
  <xdr:twoCellAnchor>
    <xdr:from>
      <xdr:col>0</xdr:col>
      <xdr:colOff>160911</xdr:colOff>
      <xdr:row>5</xdr:row>
      <xdr:rowOff>27494</xdr:rowOff>
    </xdr:from>
    <xdr:to>
      <xdr:col>1</xdr:col>
      <xdr:colOff>733626</xdr:colOff>
      <xdr:row>5</xdr:row>
      <xdr:rowOff>135174</xdr:rowOff>
    </xdr:to>
    <xdr:sp macro="" textlink="">
      <xdr:nvSpPr>
        <xdr:cNvPr id="13" name="CaixaDeTexto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60911" y="797600"/>
          <a:ext cx="1115843" cy="107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>
              <a:solidFill>
                <a:schemeClr val="bg1"/>
              </a:solidFill>
            </a:rPr>
            <a:t>Matriz de Achados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149088</xdr:colOff>
      <xdr:row>6</xdr:row>
      <xdr:rowOff>16212</xdr:rowOff>
    </xdr:from>
    <xdr:to>
      <xdr:col>1</xdr:col>
      <xdr:colOff>728695</xdr:colOff>
      <xdr:row>6</xdr:row>
      <xdr:rowOff>132876</xdr:rowOff>
    </xdr:to>
    <xdr:sp macro="" textlink="">
      <xdr:nvSpPr>
        <xdr:cNvPr id="15" name="CaixaDeText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49088" y="940340"/>
          <a:ext cx="1122735" cy="1166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>
              <a:solidFill>
                <a:schemeClr val="bg1"/>
              </a:solidFill>
            </a:rPr>
            <a:t>Planos de Ação</a:t>
          </a:r>
        </a:p>
        <a:p>
          <a:pPr algn="l"/>
          <a:endParaRPr lang="pt-BR" sz="800"/>
        </a:p>
      </xdr:txBody>
    </xdr:sp>
    <xdr:clientData/>
  </xdr:twoCellAnchor>
  <xdr:twoCellAnchor>
    <xdr:from>
      <xdr:col>0</xdr:col>
      <xdr:colOff>161587</xdr:colOff>
      <xdr:row>7</xdr:row>
      <xdr:rowOff>26615</xdr:rowOff>
    </xdr:from>
    <xdr:to>
      <xdr:col>1</xdr:col>
      <xdr:colOff>733627</xdr:colOff>
      <xdr:row>7</xdr:row>
      <xdr:rowOff>140982</xdr:rowOff>
    </xdr:to>
    <xdr:sp macro="" textlink="">
      <xdr:nvSpPr>
        <xdr:cNvPr id="17" name="CaixaDeTexto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61587" y="1104764"/>
          <a:ext cx="1115168" cy="1143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>
              <a:solidFill>
                <a:schemeClr val="bg1"/>
              </a:solidFill>
            </a:rPr>
            <a:t>Listas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179759</xdr:colOff>
      <xdr:row>9</xdr:row>
      <xdr:rowOff>25198</xdr:rowOff>
    </xdr:from>
    <xdr:to>
      <xdr:col>1</xdr:col>
      <xdr:colOff>726399</xdr:colOff>
      <xdr:row>9</xdr:row>
      <xdr:rowOff>142741</xdr:rowOff>
    </xdr:to>
    <xdr:sp macro="" textlink="">
      <xdr:nvSpPr>
        <xdr:cNvPr id="19" name="CaixaDeTexto 1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79759" y="1411389"/>
          <a:ext cx="1089768" cy="1175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>
              <a:solidFill>
                <a:schemeClr val="bg1"/>
              </a:solidFill>
            </a:rPr>
            <a:t>Orientações</a:t>
          </a:r>
        </a:p>
        <a:p>
          <a:pPr algn="ctr"/>
          <a:endParaRPr lang="pt-BR" sz="800"/>
        </a:p>
      </xdr:txBody>
    </xdr:sp>
    <xdr:clientData/>
  </xdr:twoCellAnchor>
  <xdr:twoCellAnchor>
    <xdr:from>
      <xdr:col>0</xdr:col>
      <xdr:colOff>158953</xdr:colOff>
      <xdr:row>10</xdr:row>
      <xdr:rowOff>24859</xdr:rowOff>
    </xdr:from>
    <xdr:to>
      <xdr:col>1</xdr:col>
      <xdr:colOff>732749</xdr:colOff>
      <xdr:row>10</xdr:row>
      <xdr:rowOff>130580</xdr:rowOff>
    </xdr:to>
    <xdr:sp macro="" textlink="">
      <xdr:nvSpPr>
        <xdr:cNvPr id="21" name="CaixaDeTexto 2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58953" y="1565072"/>
          <a:ext cx="1116924" cy="105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>
              <a:solidFill>
                <a:schemeClr val="bg1"/>
              </a:solidFill>
            </a:rPr>
            <a:t>Vulnerabilidades</a:t>
          </a:r>
        </a:p>
      </xdr:txBody>
    </xdr:sp>
    <xdr:clientData/>
  </xdr:twoCellAnchor>
  <xdr:twoCellAnchor>
    <xdr:from>
      <xdr:col>0</xdr:col>
      <xdr:colOff>154020</xdr:colOff>
      <xdr:row>11</xdr:row>
      <xdr:rowOff>8106</xdr:rowOff>
    </xdr:from>
    <xdr:to>
      <xdr:col>1</xdr:col>
      <xdr:colOff>729574</xdr:colOff>
      <xdr:row>11</xdr:row>
      <xdr:rowOff>122473</xdr:rowOff>
    </xdr:to>
    <xdr:sp macro="" textlink="">
      <xdr:nvSpPr>
        <xdr:cNvPr id="23" name="CaixaDeTexto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54020" y="1702340"/>
          <a:ext cx="1118682" cy="1143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>
              <a:solidFill>
                <a:schemeClr val="bg1"/>
              </a:solidFill>
            </a:rPr>
            <a:t>Escalas de Controles</a:t>
          </a:r>
        </a:p>
      </xdr:txBody>
    </xdr:sp>
    <xdr:clientData/>
  </xdr:twoCellAnchor>
  <xdr:twoCellAnchor editAs="oneCell">
    <xdr:from>
      <xdr:col>0</xdr:col>
      <xdr:colOff>100761</xdr:colOff>
      <xdr:row>4</xdr:row>
      <xdr:rowOff>25198</xdr:rowOff>
    </xdr:from>
    <xdr:to>
      <xdr:col>0</xdr:col>
      <xdr:colOff>216154</xdr:colOff>
      <xdr:row>4</xdr:row>
      <xdr:rowOff>128285</xdr:rowOff>
    </xdr:to>
    <xdr:pic>
      <xdr:nvPicPr>
        <xdr:cNvPr id="79" name="Gráfico 78" descr="Blog com preenchimento sólido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00761" y="641283"/>
          <a:ext cx="115393" cy="103087"/>
        </a:xfrm>
        <a:prstGeom prst="rect">
          <a:avLst/>
        </a:prstGeom>
      </xdr:spPr>
    </xdr:pic>
    <xdr:clientData/>
  </xdr:twoCellAnchor>
  <xdr:twoCellAnchor editAs="oneCell">
    <xdr:from>
      <xdr:col>0</xdr:col>
      <xdr:colOff>112505</xdr:colOff>
      <xdr:row>5</xdr:row>
      <xdr:rowOff>29145</xdr:rowOff>
    </xdr:from>
    <xdr:to>
      <xdr:col>0</xdr:col>
      <xdr:colOff>207591</xdr:colOff>
      <xdr:row>5</xdr:row>
      <xdr:rowOff>135320</xdr:rowOff>
    </xdr:to>
    <xdr:pic>
      <xdr:nvPicPr>
        <xdr:cNvPr id="109" name="Gráfico 108" descr="Na mosca com preenchimento sólido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12505" y="799251"/>
          <a:ext cx="95086" cy="1061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97142</xdr:colOff>
      <xdr:row>11</xdr:row>
      <xdr:rowOff>18508</xdr:rowOff>
    </xdr:from>
    <xdr:to>
      <xdr:col>0</xdr:col>
      <xdr:colOff>224920</xdr:colOff>
      <xdr:row>11</xdr:row>
      <xdr:rowOff>136930</xdr:rowOff>
    </xdr:to>
    <xdr:pic>
      <xdr:nvPicPr>
        <xdr:cNvPr id="130" name="Gráfico 129" descr="Alterações e ajustes com preenchimento sólido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97142" y="1712742"/>
          <a:ext cx="127778" cy="118422"/>
        </a:xfrm>
        <a:prstGeom prst="rect">
          <a:avLst/>
        </a:prstGeom>
      </xdr:spPr>
    </xdr:pic>
    <xdr:clientData/>
  </xdr:twoCellAnchor>
  <xdr:twoCellAnchor editAs="oneCell">
    <xdr:from>
      <xdr:col>0</xdr:col>
      <xdr:colOff>101720</xdr:colOff>
      <xdr:row>3</xdr:row>
      <xdr:rowOff>32951</xdr:rowOff>
    </xdr:from>
    <xdr:to>
      <xdr:col>0</xdr:col>
      <xdr:colOff>195431</xdr:colOff>
      <xdr:row>3</xdr:row>
      <xdr:rowOff>131890</xdr:rowOff>
    </xdr:to>
    <xdr:pic>
      <xdr:nvPicPr>
        <xdr:cNvPr id="146" name="Gráfico 145" descr="Fluxograma com preenchimento sólido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101720" y="495015"/>
          <a:ext cx="93711" cy="98939"/>
        </a:xfrm>
        <a:prstGeom prst="rect">
          <a:avLst/>
        </a:prstGeom>
      </xdr:spPr>
    </xdr:pic>
    <xdr:clientData/>
  </xdr:twoCellAnchor>
  <xdr:twoCellAnchor editAs="oneCell">
    <xdr:from>
      <xdr:col>0</xdr:col>
      <xdr:colOff>104692</xdr:colOff>
      <xdr:row>1</xdr:row>
      <xdr:rowOff>44584</xdr:rowOff>
    </xdr:from>
    <xdr:to>
      <xdr:col>0</xdr:col>
      <xdr:colOff>208242</xdr:colOff>
      <xdr:row>1</xdr:row>
      <xdr:rowOff>149968</xdr:rowOff>
    </xdr:to>
    <xdr:pic>
      <xdr:nvPicPr>
        <xdr:cNvPr id="164" name="Gráfico 163" descr="Peças de quebra-cabeça com preenchimento sólido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04692" y="198605"/>
          <a:ext cx="103550" cy="105384"/>
        </a:xfrm>
        <a:prstGeom prst="rect">
          <a:avLst/>
        </a:prstGeom>
      </xdr:spPr>
    </xdr:pic>
    <xdr:clientData/>
  </xdr:twoCellAnchor>
  <xdr:twoCellAnchor editAs="oneCell">
    <xdr:from>
      <xdr:col>0</xdr:col>
      <xdr:colOff>99167</xdr:colOff>
      <xdr:row>9</xdr:row>
      <xdr:rowOff>36006</xdr:rowOff>
    </xdr:from>
    <xdr:to>
      <xdr:col>0</xdr:col>
      <xdr:colOff>205696</xdr:colOff>
      <xdr:row>9</xdr:row>
      <xdr:rowOff>149091</xdr:rowOff>
    </xdr:to>
    <xdr:pic>
      <xdr:nvPicPr>
        <xdr:cNvPr id="168" name="Gráfico 167" descr="Rota (dois pinos em um caminho) com preenchimento sólido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99167" y="1422197"/>
          <a:ext cx="106529" cy="113085"/>
        </a:xfrm>
        <a:prstGeom prst="rect">
          <a:avLst/>
        </a:prstGeom>
      </xdr:spPr>
    </xdr:pic>
    <xdr:clientData/>
  </xdr:twoCellAnchor>
  <xdr:twoCellAnchor editAs="oneCell">
    <xdr:from>
      <xdr:col>0</xdr:col>
      <xdr:colOff>98418</xdr:colOff>
      <xdr:row>10</xdr:row>
      <xdr:rowOff>35664</xdr:rowOff>
    </xdr:from>
    <xdr:to>
      <xdr:col>0</xdr:col>
      <xdr:colOff>214473</xdr:colOff>
      <xdr:row>10</xdr:row>
      <xdr:rowOff>141862</xdr:rowOff>
    </xdr:to>
    <xdr:pic>
      <xdr:nvPicPr>
        <xdr:cNvPr id="172" name="Gráfico 171" descr="Cone de tráfego com preenchimento sólido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98418" y="1575877"/>
          <a:ext cx="116055" cy="106198"/>
        </a:xfrm>
        <a:prstGeom prst="rect">
          <a:avLst/>
        </a:prstGeom>
      </xdr:spPr>
    </xdr:pic>
    <xdr:clientData/>
  </xdr:twoCellAnchor>
  <xdr:twoCellAnchor editAs="oneCell">
    <xdr:from>
      <xdr:col>0</xdr:col>
      <xdr:colOff>105881</xdr:colOff>
      <xdr:row>6</xdr:row>
      <xdr:rowOff>26035</xdr:rowOff>
    </xdr:from>
    <xdr:to>
      <xdr:col>0</xdr:col>
      <xdr:colOff>222046</xdr:colOff>
      <xdr:row>6</xdr:row>
      <xdr:rowOff>141360</xdr:rowOff>
    </xdr:to>
    <xdr:pic>
      <xdr:nvPicPr>
        <xdr:cNvPr id="174" name="Gráfico 173" descr="fluxo de trabalho com preenchimento sólido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9"/>
            </a:ext>
          </a:extLst>
        </a:blip>
        <a:stretch>
          <a:fillRect/>
        </a:stretch>
      </xdr:blipFill>
      <xdr:spPr>
        <a:xfrm>
          <a:off x="105881" y="950163"/>
          <a:ext cx="116165" cy="11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100637</xdr:colOff>
      <xdr:row>7</xdr:row>
      <xdr:rowOff>25721</xdr:rowOff>
    </xdr:from>
    <xdr:to>
      <xdr:col>0</xdr:col>
      <xdr:colOff>217995</xdr:colOff>
      <xdr:row>7</xdr:row>
      <xdr:rowOff>132681</xdr:rowOff>
    </xdr:to>
    <xdr:pic>
      <xdr:nvPicPr>
        <xdr:cNvPr id="49" name="Gráfico 48" descr="Lista de Verificação com preenchimento sólido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1"/>
            </a:ext>
          </a:extLst>
        </a:blip>
        <a:stretch>
          <a:fillRect/>
        </a:stretch>
      </xdr:blipFill>
      <xdr:spPr>
        <a:xfrm>
          <a:off x="100637" y="1103870"/>
          <a:ext cx="114183" cy="106960"/>
        </a:xfrm>
        <a:prstGeom prst="rect">
          <a:avLst/>
        </a:prstGeom>
      </xdr:spPr>
    </xdr:pic>
    <xdr:clientData/>
  </xdr:twoCellAnchor>
  <xdr:twoCellAnchor editAs="oneCell">
    <xdr:from>
      <xdr:col>0</xdr:col>
      <xdr:colOff>116045</xdr:colOff>
      <xdr:row>8</xdr:row>
      <xdr:rowOff>50249</xdr:rowOff>
    </xdr:from>
    <xdr:to>
      <xdr:col>0</xdr:col>
      <xdr:colOff>217994</xdr:colOff>
      <xdr:row>8</xdr:row>
      <xdr:rowOff>151383</xdr:rowOff>
    </xdr:to>
    <xdr:pic>
      <xdr:nvPicPr>
        <xdr:cNvPr id="50" name="Gráfico 49" descr="Banco de dados com preenchimento sólid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3"/>
            </a:ext>
          </a:extLst>
        </a:blip>
        <a:stretch>
          <a:fillRect/>
        </a:stretch>
      </xdr:blipFill>
      <xdr:spPr>
        <a:xfrm>
          <a:off x="116045" y="1282419"/>
          <a:ext cx="101949" cy="1011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114434</xdr:rowOff>
    </xdr:from>
    <xdr:to>
      <xdr:col>0</xdr:col>
      <xdr:colOff>187408</xdr:colOff>
      <xdr:row>1</xdr:row>
      <xdr:rowOff>314742</xdr:rowOff>
    </xdr:to>
    <xdr:pic>
      <xdr:nvPicPr>
        <xdr:cNvPr id="142" name="Gráfico 141" descr="Peças de quebra-cabeça com preenchimento sólido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4691" y="333509"/>
          <a:ext cx="190583" cy="1939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147637</xdr:colOff>
      <xdr:row>22</xdr:row>
      <xdr:rowOff>28576</xdr:rowOff>
    </xdr:from>
    <xdr:to>
      <xdr:col>6</xdr:col>
      <xdr:colOff>2068513</xdr:colOff>
      <xdr:row>48</xdr:row>
      <xdr:rowOff>142875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44584</xdr:rowOff>
    </xdr:from>
    <xdr:to>
      <xdr:col>0</xdr:col>
      <xdr:colOff>106725</xdr:colOff>
      <xdr:row>1</xdr:row>
      <xdr:rowOff>149968</xdr:rowOff>
    </xdr:to>
    <xdr:pic>
      <xdr:nvPicPr>
        <xdr:cNvPr id="20" name="Gráfico 19" descr="Peças de quebra-cabeça com preenchimento sólido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867" y="381134"/>
          <a:ext cx="100375" cy="1022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349250</xdr:colOff>
      <xdr:row>0</xdr:row>
      <xdr:rowOff>196850</xdr:rowOff>
    </xdr:from>
    <xdr:to>
      <xdr:col>1</xdr:col>
      <xdr:colOff>2141008</xdr:colOff>
      <xdr:row>3</xdr:row>
      <xdr:rowOff>7937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906" y="196850"/>
          <a:ext cx="1794933" cy="5889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200025</xdr:rowOff>
    </xdr:from>
    <xdr:to>
      <xdr:col>1</xdr:col>
      <xdr:colOff>2141008</xdr:colOff>
      <xdr:row>1</xdr:row>
      <xdr:rowOff>335813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525" y="196850"/>
          <a:ext cx="1791758" cy="602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58423</xdr:rowOff>
    </xdr:from>
    <xdr:to>
      <xdr:col>0</xdr:col>
      <xdr:colOff>0</xdr:colOff>
      <xdr:row>3</xdr:row>
      <xdr:rowOff>367393</xdr:rowOff>
    </xdr:to>
    <xdr:sp macro="" textlink="">
      <xdr:nvSpPr>
        <xdr:cNvPr id="6" name="CaixaDeTexto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160399" y="1258573"/>
          <a:ext cx="2250333" cy="312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Riscos e Controles</a:t>
          </a:r>
        </a:p>
      </xdr:txBody>
    </xdr:sp>
    <xdr:clientData/>
  </xdr:twoCellAnchor>
  <xdr:twoCellAnchor>
    <xdr:from>
      <xdr:col>0</xdr:col>
      <xdr:colOff>0</xdr:colOff>
      <xdr:row>8</xdr:row>
      <xdr:rowOff>40531</xdr:rowOff>
    </xdr:from>
    <xdr:to>
      <xdr:col>0</xdr:col>
      <xdr:colOff>0</xdr:colOff>
      <xdr:row>8</xdr:row>
      <xdr:rowOff>367392</xdr:rowOff>
    </xdr:to>
    <xdr:sp macro="" textlink="">
      <xdr:nvSpPr>
        <xdr:cNvPr id="8" name="CaixaDeText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174288" y="3240931"/>
          <a:ext cx="2236444" cy="330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Tabelas</a:t>
          </a:r>
        </a:p>
        <a:p>
          <a:pPr algn="l"/>
          <a:endParaRPr lang="pt-BR" sz="1200"/>
        </a:p>
      </xdr:txBody>
    </xdr:sp>
    <xdr:clientData/>
  </xdr:twoCellAnchor>
  <xdr:twoCellAnchor>
    <xdr:from>
      <xdr:col>0</xdr:col>
      <xdr:colOff>0</xdr:colOff>
      <xdr:row>5</xdr:row>
      <xdr:rowOff>30669</xdr:rowOff>
    </xdr:from>
    <xdr:to>
      <xdr:col>0</xdr:col>
      <xdr:colOff>0</xdr:colOff>
      <xdr:row>5</xdr:row>
      <xdr:rowOff>353785</xdr:rowOff>
    </xdr:to>
    <xdr:sp macro="" textlink="">
      <xdr:nvSpPr>
        <xdr:cNvPr id="9" name="CaixaDeText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160910" y="2027744"/>
          <a:ext cx="2250728" cy="3231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Matriz de Achados</a:t>
          </a:r>
        </a:p>
        <a:p>
          <a:pPr algn="l"/>
          <a:endParaRPr lang="pt-BR" sz="1200"/>
        </a:p>
      </xdr:txBody>
    </xdr:sp>
    <xdr:clientData/>
  </xdr:twoCellAnchor>
  <xdr:twoCellAnchor>
    <xdr:from>
      <xdr:col>0</xdr:col>
      <xdr:colOff>0</xdr:colOff>
      <xdr:row>6</xdr:row>
      <xdr:rowOff>46602</xdr:rowOff>
    </xdr:from>
    <xdr:to>
      <xdr:col>0</xdr:col>
      <xdr:colOff>0</xdr:colOff>
      <xdr:row>6</xdr:row>
      <xdr:rowOff>381000</xdr:rowOff>
    </xdr:to>
    <xdr:sp macro="" textlink="">
      <xdr:nvSpPr>
        <xdr:cNvPr id="10" name="CaixaDeText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/>
      </xdr:nvSpPr>
      <xdr:spPr>
        <a:xfrm>
          <a:off x="241163" y="2450077"/>
          <a:ext cx="2169569" cy="3312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Planos de Ação</a:t>
          </a:r>
        </a:p>
        <a:p>
          <a:pPr algn="l"/>
          <a:endParaRPr lang="pt-BR" sz="1200"/>
        </a:p>
      </xdr:txBody>
    </xdr:sp>
    <xdr:clientData/>
  </xdr:twoCellAnchor>
  <xdr:twoCellAnchor>
    <xdr:from>
      <xdr:col>0</xdr:col>
      <xdr:colOff>0</xdr:colOff>
      <xdr:row>9</xdr:row>
      <xdr:rowOff>45156</xdr:rowOff>
    </xdr:from>
    <xdr:to>
      <xdr:col>0</xdr:col>
      <xdr:colOff>0</xdr:colOff>
      <xdr:row>9</xdr:row>
      <xdr:rowOff>381000</xdr:rowOff>
    </xdr:to>
    <xdr:sp macro="" textlink="">
      <xdr:nvSpPr>
        <xdr:cNvPr id="12" name="CaixaDeText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/>
      </xdr:nvSpPr>
      <xdr:spPr>
        <a:xfrm>
          <a:off x="278184" y="3648781"/>
          <a:ext cx="2132548" cy="3326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Orientações</a:t>
          </a:r>
        </a:p>
        <a:p>
          <a:pPr algn="ctr"/>
          <a:endParaRPr lang="pt-BR" sz="1200"/>
        </a:p>
      </xdr:txBody>
    </xdr:sp>
    <xdr:clientData/>
  </xdr:twoCellAnchor>
  <xdr:twoCellAnchor>
    <xdr:from>
      <xdr:col>0</xdr:col>
      <xdr:colOff>0</xdr:colOff>
      <xdr:row>10</xdr:row>
      <xdr:rowOff>28034</xdr:rowOff>
    </xdr:from>
    <xdr:to>
      <xdr:col>0</xdr:col>
      <xdr:colOff>0</xdr:colOff>
      <xdr:row>10</xdr:row>
      <xdr:rowOff>381000</xdr:rowOff>
    </xdr:to>
    <xdr:sp macro="" textlink="">
      <xdr:nvSpPr>
        <xdr:cNvPr id="13" name="CaixaDeText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/>
      </xdr:nvSpPr>
      <xdr:spPr>
        <a:xfrm>
          <a:off x="158953" y="4031709"/>
          <a:ext cx="2251779" cy="3497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Vulnerabilidades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104692</xdr:colOff>
      <xdr:row>13</xdr:row>
      <xdr:rowOff>44584</xdr:rowOff>
    </xdr:from>
    <xdr:to>
      <xdr:col>0</xdr:col>
      <xdr:colOff>208242</xdr:colOff>
      <xdr:row>13</xdr:row>
      <xdr:rowOff>149968</xdr:rowOff>
    </xdr:to>
    <xdr:pic>
      <xdr:nvPicPr>
        <xdr:cNvPr id="67" name="Gráfico 66" descr="Peças de quebra-cabeça com preenchimento sólido">
          <a:extLst>
            <a:ext uri="{FF2B5EF4-FFF2-40B4-BE49-F238E27FC236}">
              <a16:creationId xmlns:a16="http://schemas.microsoft.com/office/drawing/2014/main" id="{00000000-0008-0000-0B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867" y="362084"/>
          <a:ext cx="100375" cy="10220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40531</xdr:rowOff>
    </xdr:from>
    <xdr:to>
      <xdr:col>1</xdr:col>
      <xdr:colOff>0</xdr:colOff>
      <xdr:row>7</xdr:row>
      <xdr:rowOff>367392</xdr:rowOff>
    </xdr:to>
    <xdr:sp macro="" textlink="">
      <xdr:nvSpPr>
        <xdr:cNvPr id="8" name="CaixaDeText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 txBox="1"/>
      </xdr:nvSpPr>
      <xdr:spPr>
        <a:xfrm>
          <a:off x="174288" y="9641731"/>
          <a:ext cx="1998319" cy="330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Tabelas</a:t>
          </a:r>
        </a:p>
        <a:p>
          <a:pPr algn="l"/>
          <a:endParaRPr lang="pt-BR" sz="1200"/>
        </a:p>
      </xdr:txBody>
    </xdr:sp>
    <xdr:clientData/>
  </xdr:twoCellAnchor>
  <xdr:twoCellAnchor>
    <xdr:from>
      <xdr:col>1</xdr:col>
      <xdr:colOff>0</xdr:colOff>
      <xdr:row>3</xdr:row>
      <xdr:rowOff>30669</xdr:rowOff>
    </xdr:from>
    <xdr:to>
      <xdr:col>1</xdr:col>
      <xdr:colOff>0</xdr:colOff>
      <xdr:row>3</xdr:row>
      <xdr:rowOff>353785</xdr:rowOff>
    </xdr:to>
    <xdr:sp macro="" textlink="">
      <xdr:nvSpPr>
        <xdr:cNvPr id="9" name="CaixaDeText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 txBox="1"/>
      </xdr:nvSpPr>
      <xdr:spPr>
        <a:xfrm>
          <a:off x="160910" y="8342819"/>
          <a:ext cx="2012603" cy="3231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Matriz de Achados</a:t>
          </a:r>
        </a:p>
        <a:p>
          <a:pPr algn="l"/>
          <a:endParaRPr lang="pt-BR" sz="1200"/>
        </a:p>
      </xdr:txBody>
    </xdr:sp>
    <xdr:clientData/>
  </xdr:twoCellAnchor>
  <xdr:twoCellAnchor>
    <xdr:from>
      <xdr:col>1</xdr:col>
      <xdr:colOff>0</xdr:colOff>
      <xdr:row>4</xdr:row>
      <xdr:rowOff>46602</xdr:rowOff>
    </xdr:from>
    <xdr:to>
      <xdr:col>1</xdr:col>
      <xdr:colOff>0</xdr:colOff>
      <xdr:row>4</xdr:row>
      <xdr:rowOff>381000</xdr:rowOff>
    </xdr:to>
    <xdr:sp macro="" textlink="">
      <xdr:nvSpPr>
        <xdr:cNvPr id="10" name="CaixaDeText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241163" y="8793727"/>
          <a:ext cx="1931444" cy="3312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Planos de Ação</a:t>
          </a:r>
        </a:p>
        <a:p>
          <a:pPr algn="l"/>
          <a:endParaRPr lang="pt-BR" sz="1200"/>
        </a:p>
      </xdr:txBody>
    </xdr:sp>
    <xdr:clientData/>
  </xdr:twoCellAnchor>
  <xdr:twoCellAnchor>
    <xdr:from>
      <xdr:col>1</xdr:col>
      <xdr:colOff>0</xdr:colOff>
      <xdr:row>8</xdr:row>
      <xdr:rowOff>45156</xdr:rowOff>
    </xdr:from>
    <xdr:to>
      <xdr:col>1</xdr:col>
      <xdr:colOff>0</xdr:colOff>
      <xdr:row>8</xdr:row>
      <xdr:rowOff>381000</xdr:rowOff>
    </xdr:to>
    <xdr:sp macro="" textlink="">
      <xdr:nvSpPr>
        <xdr:cNvPr id="12" name="CaixaDeText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 txBox="1"/>
      </xdr:nvSpPr>
      <xdr:spPr>
        <a:xfrm>
          <a:off x="278184" y="10078156"/>
          <a:ext cx="1894423" cy="3326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Orientações</a:t>
          </a:r>
        </a:p>
        <a:p>
          <a:pPr algn="ctr"/>
          <a:endParaRPr lang="pt-BR" sz="1200"/>
        </a:p>
      </xdr:txBody>
    </xdr:sp>
    <xdr:clientData/>
  </xdr:twoCellAnchor>
  <xdr:twoCellAnchor>
    <xdr:from>
      <xdr:col>1</xdr:col>
      <xdr:colOff>0</xdr:colOff>
      <xdr:row>9</xdr:row>
      <xdr:rowOff>28034</xdr:rowOff>
    </xdr:from>
    <xdr:to>
      <xdr:col>1</xdr:col>
      <xdr:colOff>0</xdr:colOff>
      <xdr:row>9</xdr:row>
      <xdr:rowOff>381000</xdr:rowOff>
    </xdr:to>
    <xdr:sp macro="" textlink="">
      <xdr:nvSpPr>
        <xdr:cNvPr id="13" name="CaixaDeTexto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 txBox="1"/>
      </xdr:nvSpPr>
      <xdr:spPr>
        <a:xfrm>
          <a:off x="158953" y="10489659"/>
          <a:ext cx="2013654" cy="3497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Vulnerabilidades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0</xdr:col>
      <xdr:colOff>0</xdr:colOff>
      <xdr:row>1</xdr:row>
      <xdr:rowOff>520700</xdr:rowOff>
    </xdr:to>
    <xdr:sp macro="" textlink="">
      <xdr:nvSpPr>
        <xdr:cNvPr id="5" name="CaixaDeText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/>
      </xdr:nvSpPr>
      <xdr:spPr>
        <a:xfrm>
          <a:off x="266699" y="638175"/>
          <a:ext cx="2190750" cy="44450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Entendimento</a:t>
          </a:r>
        </a:p>
        <a:p>
          <a:pPr algn="l"/>
          <a:endParaRPr lang="pt-BR" sz="1200"/>
        </a:p>
      </xdr:txBody>
    </xdr:sp>
    <xdr:clientData/>
  </xdr:twoCellAnchor>
  <xdr:twoCellAnchor>
    <xdr:from>
      <xdr:col>0</xdr:col>
      <xdr:colOff>0</xdr:colOff>
      <xdr:row>3</xdr:row>
      <xdr:rowOff>58423</xdr:rowOff>
    </xdr:from>
    <xdr:to>
      <xdr:col>0</xdr:col>
      <xdr:colOff>0</xdr:colOff>
      <xdr:row>3</xdr:row>
      <xdr:rowOff>367393</xdr:rowOff>
    </xdr:to>
    <xdr:sp macro="" textlink="">
      <xdr:nvSpPr>
        <xdr:cNvPr id="6" name="CaixaDeText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/>
      </xdr:nvSpPr>
      <xdr:spPr>
        <a:xfrm>
          <a:off x="369949" y="1715773"/>
          <a:ext cx="2174133" cy="312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Riscos e Controles</a:t>
          </a:r>
        </a:p>
      </xdr:txBody>
    </xdr:sp>
    <xdr:clientData/>
  </xdr:twoCellAnchor>
  <xdr:twoCellAnchor>
    <xdr:from>
      <xdr:col>0</xdr:col>
      <xdr:colOff>0</xdr:colOff>
      <xdr:row>8</xdr:row>
      <xdr:rowOff>40531</xdr:rowOff>
    </xdr:from>
    <xdr:to>
      <xdr:col>0</xdr:col>
      <xdr:colOff>0</xdr:colOff>
      <xdr:row>8</xdr:row>
      <xdr:rowOff>367392</xdr:rowOff>
    </xdr:to>
    <xdr:sp macro="" textlink="">
      <xdr:nvSpPr>
        <xdr:cNvPr id="8" name="CaixaDeText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/>
      </xdr:nvSpPr>
      <xdr:spPr>
        <a:xfrm>
          <a:off x="383838" y="4460131"/>
          <a:ext cx="2160244" cy="330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Tabelas</a:t>
          </a:r>
        </a:p>
        <a:p>
          <a:pPr algn="l"/>
          <a:endParaRPr lang="pt-BR" sz="1200"/>
        </a:p>
      </xdr:txBody>
    </xdr:sp>
    <xdr:clientData/>
  </xdr:twoCellAnchor>
  <xdr:twoCellAnchor>
    <xdr:from>
      <xdr:col>0</xdr:col>
      <xdr:colOff>0</xdr:colOff>
      <xdr:row>5</xdr:row>
      <xdr:rowOff>30669</xdr:rowOff>
    </xdr:from>
    <xdr:to>
      <xdr:col>0</xdr:col>
      <xdr:colOff>0</xdr:colOff>
      <xdr:row>5</xdr:row>
      <xdr:rowOff>353785</xdr:rowOff>
    </xdr:to>
    <xdr:sp macro="" textlink="">
      <xdr:nvSpPr>
        <xdr:cNvPr id="9" name="CaixaDeText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/>
      </xdr:nvSpPr>
      <xdr:spPr>
        <a:xfrm>
          <a:off x="370460" y="2789744"/>
          <a:ext cx="2174528" cy="3231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Matriz de Achados</a:t>
          </a:r>
        </a:p>
        <a:p>
          <a:pPr algn="l"/>
          <a:endParaRPr lang="pt-BR" sz="1200"/>
        </a:p>
      </xdr:txBody>
    </xdr:sp>
    <xdr:clientData/>
  </xdr:twoCellAnchor>
  <xdr:twoCellAnchor>
    <xdr:from>
      <xdr:col>0</xdr:col>
      <xdr:colOff>0</xdr:colOff>
      <xdr:row>6</xdr:row>
      <xdr:rowOff>46602</xdr:rowOff>
    </xdr:from>
    <xdr:to>
      <xdr:col>0</xdr:col>
      <xdr:colOff>0</xdr:colOff>
      <xdr:row>6</xdr:row>
      <xdr:rowOff>381000</xdr:rowOff>
    </xdr:to>
    <xdr:sp macro="" textlink="">
      <xdr:nvSpPr>
        <xdr:cNvPr id="10" name="CaixaDeTexto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/>
      </xdr:nvSpPr>
      <xdr:spPr>
        <a:xfrm>
          <a:off x="450713" y="3364477"/>
          <a:ext cx="2093369" cy="3312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Planos de Ação</a:t>
          </a:r>
        </a:p>
        <a:p>
          <a:pPr algn="l"/>
          <a:endParaRPr lang="pt-BR" sz="1200"/>
        </a:p>
      </xdr:txBody>
    </xdr:sp>
    <xdr:clientData/>
  </xdr:twoCellAnchor>
  <xdr:twoCellAnchor>
    <xdr:from>
      <xdr:col>0</xdr:col>
      <xdr:colOff>0</xdr:colOff>
      <xdr:row>9</xdr:row>
      <xdr:rowOff>45156</xdr:rowOff>
    </xdr:from>
    <xdr:to>
      <xdr:col>0</xdr:col>
      <xdr:colOff>0</xdr:colOff>
      <xdr:row>9</xdr:row>
      <xdr:rowOff>381000</xdr:rowOff>
    </xdr:to>
    <xdr:sp macro="" textlink="">
      <xdr:nvSpPr>
        <xdr:cNvPr id="12" name="CaixaDeText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/>
      </xdr:nvSpPr>
      <xdr:spPr>
        <a:xfrm>
          <a:off x="487734" y="5020381"/>
          <a:ext cx="2056348" cy="3326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Orientações</a:t>
          </a:r>
        </a:p>
        <a:p>
          <a:pPr algn="ctr"/>
          <a:endParaRPr lang="pt-BR" sz="1200"/>
        </a:p>
      </xdr:txBody>
    </xdr:sp>
    <xdr:clientData/>
  </xdr:twoCellAnchor>
  <xdr:twoCellAnchor>
    <xdr:from>
      <xdr:col>0</xdr:col>
      <xdr:colOff>0</xdr:colOff>
      <xdr:row>10</xdr:row>
      <xdr:rowOff>28034</xdr:rowOff>
    </xdr:from>
    <xdr:to>
      <xdr:col>0</xdr:col>
      <xdr:colOff>0</xdr:colOff>
      <xdr:row>10</xdr:row>
      <xdr:rowOff>381000</xdr:rowOff>
    </xdr:to>
    <xdr:sp macro="" textlink="">
      <xdr:nvSpPr>
        <xdr:cNvPr id="13" name="CaixaDeText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/>
      </xdr:nvSpPr>
      <xdr:spPr>
        <a:xfrm>
          <a:off x="368503" y="5555709"/>
          <a:ext cx="2175579" cy="3497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Vulnerabilidades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CDA575-B080-466B-B9F1-AA7965000EF1}" name="Tabela1" displayName="Tabela1" ref="B11:T20" totalsRowShown="0" headerRowDxfId="128" dataDxfId="126" headerRowBorderDxfId="127" tableBorderDxfId="125">
  <autoFilter ref="B11:T20" xr:uid="{1ECDA575-B080-466B-B9F1-AA7965000EF1}"/>
  <tableColumns count="19">
    <tableColumn id="1" xr3:uid="{AB4861B8-7E00-436B-B837-EFCB0BD334DA}" name="Objetivo" dataDxfId="124" dataCellStyle="Normal 2 2">
      <calculatedColumnFormula>'Identificação e Análise'!B12</calculatedColumnFormula>
    </tableColumn>
    <tableColumn id="5" xr3:uid="{D602D70F-84ED-4FCA-AD4D-CDF674DACB05}" name="Referência do Risco" dataDxfId="123" dataCellStyle="Normal 2 2"/>
    <tableColumn id="4" xr3:uid="{3C0D51D0-67F2-4915-A03D-0921E72432E8}" name="Risco" dataDxfId="122" dataCellStyle="Normal 2 2">
      <calculatedColumnFormula>'Identificação e Análise'!C12</calculatedColumnFormula>
    </tableColumn>
    <tableColumn id="16" xr3:uid="{88FF11D7-CFEA-461A-AD3E-D3EB44A0FE61}" name="Probabilidade" dataDxfId="121" dataCellStyle="Normal 4"/>
    <tableColumn id="8" xr3:uid="{EE7BD921-3D4E-468C-BB90-F18E7AD8F682}" name="Probabilidade (P)" dataDxfId="120" dataCellStyle="Normal 2 2">
      <calculatedColumnFormula>VLOOKUP(Tabela1[[#This Row],[Probabilidade]],Tabelas!$B$4:$D$8,3,0)</calculatedColumnFormula>
    </tableColumn>
    <tableColumn id="17" xr3:uid="{A4CC8A0B-D8F0-4D6A-8878-90F54B88762E}" name="Impacto" dataDxfId="119" dataCellStyle="Normal 2 2"/>
    <tableColumn id="9" xr3:uid="{1C8E78E7-CAAB-4B80-9A69-94AF702A82DF}" name="Impacto (I)" dataDxfId="118" dataCellStyle="Normal 2 2">
      <calculatedColumnFormula>VLOOKUP(Tabela1[[#This Row],[Impacto]],Tabelas!$F$4:$H$8,3,0)</calculatedColumnFormula>
    </tableColumn>
    <tableColumn id="10" xr3:uid="{6E13B8E7-6A4B-4095-9CF4-7C73995874D4}" name="Índice Inerente (P x I)" dataDxfId="117" dataCellStyle="Normal 2 2">
      <calculatedColumnFormula>IFERROR(H12*F12," ")</calculatedColumnFormula>
    </tableColumn>
    <tableColumn id="11" xr3:uid="{6F83450D-ECE8-4868-B422-5D65BB443669}" name="Classificação do Risco Inerente" dataDxfId="116" dataCellStyle="Normal 2 2">
      <calculatedColumnFormula>IFERROR(IF(H12*F12=0," ",IF(F12*H12&lt;=5,Tabelas!$J$4,IF(F12*H12&lt;=10,Tabelas!$J$5,IF(F12*H12&lt;=15,Tabelas!$J$6,IF(F12*H12&lt;=20,Tabelas!$J$7,IF(F12*H12=25,Tabelas!$J$8))))))," ")</calculatedColumnFormula>
    </tableColumn>
    <tableColumn id="19" xr3:uid="{DC24F001-269A-449C-B261-EB11B7CDECED}" name="Controles-Chave" dataDxfId="115" dataCellStyle="Normal 2 2"/>
    <tableColumn id="25" xr3:uid="{D634C3F4-5370-457D-A8EA-6E989A2CA2C0}" name="Avaliação Preliminar do Controle (Teste de Desenho)" dataDxfId="114"/>
    <tableColumn id="27" xr3:uid="{07D82678-7F48-4D1D-AE7E-DA527CDFE926}" name="Situação do Controle" dataDxfId="113" dataCellStyle="Porcentagem">
      <calculatedColumnFormula>IFERROR(VLOOKUP(Tabela1[[#This Row],[Avaliação Preliminar do Controle (Teste de Desenho)]],Tabelas!$N$4:$P$8,3,0),"")</calculatedColumnFormula>
    </tableColumn>
    <tableColumn id="31" xr3:uid="{4C8295E9-3CFE-45AF-BD80-DE199740CD01}" name="Classificação do Risco Residual _x000a_(Após Teste de Desenho)" dataDxfId="112">
      <calculatedColumnFormula>IFERROR(VLOOKUP(Tabela1[[#This Row],[Classificação do Risco Inerente]]&amp;Tabela1[[#This Row],[Avaliação Preliminar do Controle (Teste de Desenho)]],Tabelas!$X$4:$Y$28,2,0),"")</calculatedColumnFormula>
    </tableColumn>
    <tableColumn id="20" xr3:uid="{F2360B38-6F40-4839-82E0-CAB0BBB2E87F}" name="Síntese da Avaliação Preliminar" dataDxfId="111" dataCellStyle="Normal 2 2">
      <calculatedColumnFormula>IFERROR(VLOOKUP(Tabela1[[#This Row],[Classificação do Risco Inerente]]&amp;Tabela1[[#This Row],[Avaliação Preliminar do Controle (Teste de Desenho)]],Tabelas!$X$4:$Z$28,3,0),"")</calculatedColumnFormula>
    </tableColumn>
    <tableColumn id="3" xr3:uid="{34DC17A5-68F7-4EDB-A39A-B77A99A529B4}" name="Comentários Sobre a Avaliação Preliminar" dataDxfId="110" dataCellStyle="Normal 2 2"/>
    <tableColumn id="6" xr3:uid="{04EEE19C-B7D2-4126-9084-1A7DAC552599}" name="Teste Recomendado" dataDxfId="109">
      <calculatedColumnFormula>IFERROR(VLOOKUP(Tabela1[[#This Row],[Classificação do Risco Inerente]]&amp;Tabela1[[#This Row],[Avaliação Preliminar do Controle (Teste de Desenho)]],Tabelas!$X$4:$AA$28,4,0),"")</calculatedColumnFormula>
    </tableColumn>
    <tableColumn id="2" xr3:uid="{1EBCC324-4E23-4DA6-8002-36AF28F0B03E}" name="Prioridade" dataDxfId="108">
      <calculatedColumnFormula>IFERROR(VLOOKUP(Tabela1[[#This Row],[Classificação do Risco Inerente]]&amp;Tabela1[[#This Row],[Avaliação Preliminar do Controle (Teste de Desenho)]],Tabelas!$X$4:$AB$28,5,0),"")</calculatedColumnFormula>
    </tableColumn>
    <tableColumn id="18" xr3:uid="{EA6DFDA6-A43A-47C6-91A5-30F16CF0EB82}" name="Conclusão do Coordenador " dataDxfId="107"/>
    <tableColumn id="7" xr3:uid="{BA05A642-62D6-49E6-A1AF-3198C13943CD}" name="Justificativa para incluir ou excluir risco da avaliação" dataDxfId="10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7F0425C-C728-4A98-8146-883CC62C2322}" name="Tabela20" displayName="Tabela20" ref="B11:G20" totalsRowShown="0" headerRowDxfId="138" dataDxfId="137" tableBorderDxfId="136" dataCellStyle="Normal 2 2">
  <autoFilter ref="B11:G20" xr:uid="{D7F0425C-C728-4A98-8146-883CC62C2322}"/>
  <sortState xmlns:xlrd2="http://schemas.microsoft.com/office/spreadsheetml/2017/richdata2" ref="B12:G20">
    <sortCondition ref="B11:B20"/>
  </sortState>
  <tableColumns count="6">
    <tableColumn id="2" xr3:uid="{5B574B29-8AE1-40D1-B968-BEAD1FE95591}" name="Risco" dataDxfId="135" dataCellStyle="Porcentagem"/>
    <tableColumn id="14" xr3:uid="{0213CA65-3BA2-45C7-A218-4AE395B71BD8}" name="Referência da Subquestão" dataDxfId="134" dataCellStyle="Porcentagem"/>
    <tableColumn id="3" xr3:uid="{AE3B3219-68D0-4641-8144-6222DDAF0C7E}" name="Subquestão de Auditoria" dataDxfId="133" dataCellStyle="Porcentagem"/>
    <tableColumn id="7" xr3:uid="{EAC2CB38-C179-400D-A8C8-6E4A957CE2D5}" name="Critério" dataDxfId="132" dataCellStyle="Porcentagem"/>
    <tableColumn id="5" xr3:uid="{21B8E2EC-7DCC-4C5D-A7F4-7EDFF8D494F0}" name="Procedimentos de Auditoria" dataDxfId="131" dataCellStyle="Porcentagem"/>
    <tableColumn id="6" xr3:uid="{47C9D770-E5F3-4B7B-98E6-5B9EC257F57A}" name="Programa de Trabalho" dataDxfId="130" dataCellStyle="Normal 2 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E3419C-DC05-41E6-9223-3BCEDFCD93ED}" name="Tabela2" displayName="Tabela2" ref="F2:F11" totalsRowShown="0" headerRowDxfId="105" dataDxfId="103" headerRowBorderDxfId="104" tableBorderDxfId="102" totalsRowBorderDxfId="101" headerRowCellStyle="Normal 4">
  <autoFilter ref="F2:F11" xr:uid="{39E3419C-DC05-41E6-9223-3BCEDFCD93ED}"/>
  <sortState xmlns:xlrd2="http://schemas.microsoft.com/office/spreadsheetml/2017/richdata2" ref="F3:F11">
    <sortCondition ref="F2:F11"/>
  </sortState>
  <tableColumns count="1">
    <tableColumn id="1" xr3:uid="{61BA4E8B-FBE7-4D9F-9D95-9C7A5D43FA8E}" name="Coordenadores" dataDxfId="10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9F27F6-6868-4815-8633-F082001D0966}" name="Tabela3" displayName="Tabela3" ref="H2:H36" totalsRowShown="0" headerRowDxfId="99" dataDxfId="97" headerRowBorderDxfId="98" tableBorderDxfId="96" totalsRowBorderDxfId="95" headerRowCellStyle="Normal 4">
  <autoFilter ref="H2:H36" xr:uid="{139F27F6-6868-4815-8633-F082001D0966}"/>
  <sortState xmlns:xlrd2="http://schemas.microsoft.com/office/spreadsheetml/2017/richdata2" ref="H3:H36">
    <sortCondition ref="H2:H36"/>
  </sortState>
  <tableColumns count="1">
    <tableColumn id="1" xr3:uid="{616C3DCC-99E9-42A5-B4B4-F328D7EAF847}" name="Auditores" dataDxfId="9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F7114D-619E-4417-BA78-B23C64F778B2}" name="Tabela4" displayName="Tabela4" ref="B2:B69" totalsRowShown="0" headerRowDxfId="93" dataDxfId="91" headerRowBorderDxfId="92" tableBorderDxfId="90" totalsRowBorderDxfId="89" headerRowCellStyle="Normal 4">
  <autoFilter ref="B2:B69" xr:uid="{2CF7114D-619E-4417-BA78-B23C64F778B2}"/>
  <sortState xmlns:xlrd2="http://schemas.microsoft.com/office/spreadsheetml/2017/richdata2" ref="B3:B34">
    <sortCondition ref="B2:B34"/>
  </sortState>
  <tableColumns count="1">
    <tableColumn id="1" xr3:uid="{2113320F-0187-4A24-9582-61B9E723E9B1}" name="Unidades Auditadas" dataDxfId="88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F3B689-6910-4DE4-A402-C96E37724BBE}" name="Tabela26" displayName="Tabela26" ref="D2:D6" totalsRowShown="0" headerRowDxfId="87" dataDxfId="85" headerRowBorderDxfId="86" tableBorderDxfId="84" totalsRowBorderDxfId="83" headerRowCellStyle="Normal 4">
  <autoFilter ref="D2:D6" xr:uid="{8AF3B689-6910-4DE4-A402-C96E37724BBE}"/>
  <sortState xmlns:xlrd2="http://schemas.microsoft.com/office/spreadsheetml/2017/richdata2" ref="D3:D6">
    <sortCondition ref="D2:D6"/>
  </sortState>
  <tableColumns count="1">
    <tableColumn id="1" xr3:uid="{5A8ACCFF-5AB4-43C1-8AAC-84C9669195BF}" name="Supervisores" dataDxfId="8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AF194B-BC19-45FA-98E5-401C1BF63C2F}" name="Tabela6" displayName="Tabela6" ref="B3:B27" totalsRowShown="0" headerRowDxfId="81" dataDxfId="80" tableBorderDxfId="79">
  <autoFilter ref="B3:B27" xr:uid="{D5AF194B-BC19-45FA-98E5-401C1BF63C2F}"/>
  <sortState xmlns:xlrd2="http://schemas.microsoft.com/office/spreadsheetml/2017/richdata2" ref="B4:B27">
    <sortCondition ref="B3:B27"/>
  </sortState>
  <tableColumns count="1">
    <tableColumn id="1" xr3:uid="{B6AAEF0A-04F5-475D-821E-03399E0F8491}" name="Pessoas" dataDxfId="78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6D8794-BE5F-4FD0-A8B7-559B278D4F2C}" name="Tabela7" displayName="Tabela7" ref="C3:C27" totalsRowShown="0" headerRowDxfId="77" dataDxfId="76" tableBorderDxfId="75">
  <autoFilter ref="C3:C27" xr:uid="{646D8794-BE5F-4FD0-A8B7-559B278D4F2C}"/>
  <sortState xmlns:xlrd2="http://schemas.microsoft.com/office/spreadsheetml/2017/richdata2" ref="C4:C27">
    <sortCondition ref="C3:C27"/>
  </sortState>
  <tableColumns count="1">
    <tableColumn id="1" xr3:uid="{17B73F7A-AD2D-4F08-A256-C1DC44B13082}" name="Processos" dataDxfId="74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167A17B-E9B2-4134-A3F8-9C24C552CE0C}" name="Tabela8" displayName="Tabela8" ref="D3:D27" totalsRowShown="0" headerRowDxfId="73" dataDxfId="72" tableBorderDxfId="71">
  <autoFilter ref="D3:D27" xr:uid="{B167A17B-E9B2-4134-A3F8-9C24C552CE0C}"/>
  <sortState xmlns:xlrd2="http://schemas.microsoft.com/office/spreadsheetml/2017/richdata2" ref="D4:D27">
    <sortCondition ref="D3:D27"/>
  </sortState>
  <tableColumns count="1">
    <tableColumn id="1" xr3:uid="{23C19943-CA08-4EA1-82D6-E544160C5E66}" name="Sistemas" dataDxfId="70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8A1BC77-CDB0-41A7-B8FA-270AEDB57FE4}" name="Tabela9" displayName="Tabela9" ref="E3:E27" totalsRowShown="0" headerRowDxfId="69" dataDxfId="68" tableBorderDxfId="67">
  <autoFilter ref="E3:E27" xr:uid="{38A1BC77-CDB0-41A7-B8FA-270AEDB57FE4}"/>
  <sortState xmlns:xlrd2="http://schemas.microsoft.com/office/spreadsheetml/2017/richdata2" ref="E4:E27">
    <sortCondition ref="E3:E27"/>
  </sortState>
  <tableColumns count="1">
    <tableColumn id="1" xr3:uid="{CAB8D98A-5A96-4EFD-AA21-27AC542DDEA9}" name="Infraestrutura Física" dataDxfId="66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3FFF85C-37AF-4716-AE60-CA8AA92465FD}" name="Tabela10" displayName="Tabela10" ref="F3:F27" totalsRowShown="0" headerRowDxfId="65" dataDxfId="64" tableBorderDxfId="63">
  <autoFilter ref="F3:F27" xr:uid="{43FFF85C-37AF-4716-AE60-CA8AA92465FD}"/>
  <sortState xmlns:xlrd2="http://schemas.microsoft.com/office/spreadsheetml/2017/richdata2" ref="F4:F27">
    <sortCondition ref="F3:F27"/>
  </sortState>
  <tableColumns count="1">
    <tableColumn id="1" xr3:uid="{ABC6963D-AE3A-4445-ABD1-96341D654C41}" name="Tecnologia" dataDxfId="62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E17CB1-E56A-4B0B-8A77-E4E12ACCEAB7}" name="Tabela11" displayName="Tabela11" ref="G3:G27" totalsRowShown="0" headerRowDxfId="61" dataDxfId="60" tableBorderDxfId="59">
  <autoFilter ref="G3:G27" xr:uid="{EBE17CB1-E56A-4B0B-8A77-E4E12ACCEAB7}"/>
  <sortState xmlns:xlrd2="http://schemas.microsoft.com/office/spreadsheetml/2017/richdata2" ref="G4:G27">
    <sortCondition ref="G3:G27"/>
  </sortState>
  <tableColumns count="1">
    <tableColumn id="1" xr3:uid="{665AB50C-B4C6-443F-840D-726EE7180541}" name="Governança" dataDxfId="58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C98EFD-F960-47EC-BD6C-222F46C79B16}" name="Tabela12" displayName="Tabela12" ref="H3:H27" totalsRowShown="0" headerRowDxfId="57" dataDxfId="56" tableBorderDxfId="55">
  <autoFilter ref="H3:H27" xr:uid="{4DC98EFD-F960-47EC-BD6C-222F46C79B16}"/>
  <sortState xmlns:xlrd2="http://schemas.microsoft.com/office/spreadsheetml/2017/richdata2" ref="H4:H27">
    <sortCondition ref="H3:H27"/>
  </sortState>
  <tableColumns count="1">
    <tableColumn id="1" xr3:uid="{2E0A5879-7E1C-46BC-9D2B-DA7D24DABE1E}" name="Planejamento" dataDxfId="54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0BB1D99-0AAE-4D25-9FFF-0CA57CB4C09B}" name="Tabela13" displayName="Tabela13" ref="J3:J27" totalsRowShown="0" headerRowDxfId="53" dataDxfId="52" tableBorderDxfId="51">
  <autoFilter ref="J3:J27" xr:uid="{C0BB1D99-0AAE-4D25-9FFF-0CA57CB4C09B}"/>
  <sortState xmlns:xlrd2="http://schemas.microsoft.com/office/spreadsheetml/2017/richdata2" ref="J4:J27">
    <sortCondition ref="J3:J27"/>
  </sortState>
  <tableColumns count="1">
    <tableColumn id="1" xr3:uid="{1D5F4DF9-A567-46FC-B363-AC2CE3C42C72}" name="Ambientais" dataDxfId="50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FB82758-37D8-4E21-8448-E9CDDD0F244C}" name="Tabela14" displayName="Tabela14" ref="K3:K27" totalsRowShown="0" headerRowDxfId="49" dataDxfId="48" tableBorderDxfId="47">
  <autoFilter ref="K3:K27" xr:uid="{5FB82758-37D8-4E21-8448-E9CDDD0F244C}"/>
  <sortState xmlns:xlrd2="http://schemas.microsoft.com/office/spreadsheetml/2017/richdata2" ref="K4:K27">
    <sortCondition ref="K3:K27"/>
  </sortState>
  <tableColumns count="1">
    <tableColumn id="1" xr3:uid="{7B004D98-A851-432D-90AA-95E53BEF9B7C}" name="Econômicas" dataDxfId="46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7DD5A54-9AE5-4E29-BB8D-4DEE8A1E36FB}" name="Tabela19" displayName="Tabela19" ref="L3:L27" totalsRowShown="0" headerRowDxfId="45" dataDxfId="44" tableBorderDxfId="43">
  <autoFilter ref="L3:L27" xr:uid="{A7DD5A54-9AE5-4E29-BB8D-4DEE8A1E36FB}"/>
  <sortState xmlns:xlrd2="http://schemas.microsoft.com/office/spreadsheetml/2017/richdata2" ref="L4:L27">
    <sortCondition ref="L3:L27"/>
  </sortState>
  <tableColumns count="1">
    <tableColumn id="1" xr3:uid="{385D8C54-DF94-41BC-A6DA-937705806424}" name="Legais/jurídicas" dataDxfId="4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drawing" Target="../drawings/drawing10.xml"/><Relationship Id="rId6" Type="http://schemas.openxmlformats.org/officeDocument/2006/relationships/table" Target="../tables/table11.xml"/><Relationship Id="rId11" Type="http://schemas.openxmlformats.org/officeDocument/2006/relationships/table" Target="../tables/table16.xml"/><Relationship Id="rId5" Type="http://schemas.openxmlformats.org/officeDocument/2006/relationships/table" Target="../tables/table10.xml"/><Relationship Id="rId10" Type="http://schemas.openxmlformats.org/officeDocument/2006/relationships/table" Target="../tables/table15.xml"/><Relationship Id="rId4" Type="http://schemas.openxmlformats.org/officeDocument/2006/relationships/table" Target="../tables/table9.xml"/><Relationship Id="rId9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91115-7CFF-406D-9ADD-00295C729B09}">
  <sheetPr codeName="Planilha4"/>
  <dimension ref="A1"/>
  <sheetViews>
    <sheetView showGridLines="0" zoomScale="235" zoomScaleNormal="235" workbookViewId="0">
      <selection sqref="A1:B12"/>
    </sheetView>
  </sheetViews>
  <sheetFormatPr defaultColWidth="8.77734375" defaultRowHeight="12"/>
  <cols>
    <col min="1" max="1" width="7.77734375" style="132" customWidth="1"/>
    <col min="2" max="2" width="10.5546875" style="132" customWidth="1"/>
    <col min="3" max="3" width="8.77734375" style="132" customWidth="1"/>
    <col min="4" max="4" width="8.77734375" style="132"/>
    <col min="5" max="5" width="3.21875" style="132" customWidth="1"/>
    <col min="6" max="16384" width="8.77734375" style="132"/>
  </cols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5012F-5F92-49CA-BB08-69314E79E8BF}">
  <sheetPr codeName="Planilha1"/>
  <dimension ref="A1:J24"/>
  <sheetViews>
    <sheetView showGridLines="0" showZeros="0" topLeftCell="A11" zoomScale="90" zoomScaleNormal="90" workbookViewId="0">
      <selection activeCell="B14" sqref="B14:B17"/>
    </sheetView>
  </sheetViews>
  <sheetFormatPr defaultColWidth="0" defaultRowHeight="14.4" zeroHeight="1"/>
  <cols>
    <col min="1" max="1" width="6.21875" style="159" customWidth="1"/>
    <col min="2" max="2" width="25.5546875" style="159" customWidth="1"/>
    <col min="3" max="3" width="34.21875" style="159" customWidth="1"/>
    <col min="4" max="4" width="28.77734375" style="159" customWidth="1"/>
    <col min="5" max="5" width="35.44140625" style="159" customWidth="1"/>
    <col min="6" max="6" width="17.21875" style="159" customWidth="1"/>
    <col min="7" max="7" width="28.21875" style="159" customWidth="1"/>
    <col min="8" max="8" width="27.21875" style="159" customWidth="1"/>
    <col min="9" max="10" width="0" style="159" hidden="1" customWidth="1"/>
    <col min="11" max="16384" width="8.77734375" style="159" hidden="1"/>
  </cols>
  <sheetData>
    <row r="1" spans="2:7" ht="17.55" customHeight="1">
      <c r="B1" s="306" t="s">
        <v>0</v>
      </c>
      <c r="C1" s="307"/>
      <c r="D1" s="307"/>
      <c r="E1" s="307"/>
      <c r="F1" s="307"/>
      <c r="G1" s="308"/>
    </row>
    <row r="2" spans="2:7" ht="29.1" customHeight="1">
      <c r="B2" s="309"/>
      <c r="C2" s="310"/>
      <c r="D2" s="310"/>
      <c r="E2" s="310"/>
      <c r="F2" s="310"/>
      <c r="G2" s="311"/>
    </row>
    <row r="3" spans="2:7" ht="29.1" customHeight="1">
      <c r="B3" s="312"/>
      <c r="C3" s="313"/>
      <c r="D3" s="313"/>
      <c r="E3" s="313"/>
      <c r="F3" s="313"/>
      <c r="G3" s="314"/>
    </row>
    <row r="4" spans="2:7" ht="29.1" customHeight="1" thickBot="1">
      <c r="B4" s="164"/>
      <c r="C4" s="164"/>
      <c r="D4" s="164"/>
      <c r="E4" s="164"/>
      <c r="F4" s="164"/>
      <c r="G4" s="164"/>
    </row>
    <row r="5" spans="2:7" ht="29.1" customHeight="1">
      <c r="B5" s="267" t="s">
        <v>466</v>
      </c>
      <c r="C5" s="318"/>
      <c r="D5" s="319"/>
      <c r="E5" s="319"/>
      <c r="F5" s="319"/>
      <c r="G5" s="320"/>
    </row>
    <row r="6" spans="2:7" ht="29.1" customHeight="1">
      <c r="B6" s="268" t="s">
        <v>473</v>
      </c>
      <c r="C6" s="321"/>
      <c r="D6" s="322"/>
      <c r="E6" s="322"/>
      <c r="F6" s="322"/>
      <c r="G6" s="323"/>
    </row>
    <row r="7" spans="2:7" ht="29.1" customHeight="1">
      <c r="B7" s="268" t="s">
        <v>475</v>
      </c>
      <c r="C7" s="321"/>
      <c r="D7" s="322"/>
      <c r="E7" s="322"/>
      <c r="F7" s="322"/>
      <c r="G7" s="323"/>
    </row>
    <row r="8" spans="2:7" ht="29.1" customHeight="1">
      <c r="B8" s="268" t="s">
        <v>2</v>
      </c>
      <c r="C8" s="324"/>
      <c r="D8" s="325"/>
      <c r="E8" s="325"/>
      <c r="F8" s="325"/>
      <c r="G8" s="326"/>
    </row>
    <row r="9" spans="2:7" ht="29.1" customHeight="1">
      <c r="B9" s="268" t="s">
        <v>3</v>
      </c>
      <c r="C9" s="219"/>
      <c r="D9" s="219"/>
      <c r="E9" s="219"/>
      <c r="F9" s="327"/>
      <c r="G9" s="328"/>
    </row>
    <row r="10" spans="2:7" ht="29.1" customHeight="1">
      <c r="B10" s="268" t="s">
        <v>4</v>
      </c>
      <c r="C10" s="327"/>
      <c r="D10" s="329"/>
      <c r="E10" s="330"/>
      <c r="F10" s="158" t="s">
        <v>5</v>
      </c>
      <c r="G10" s="269"/>
    </row>
    <row r="11" spans="2:7" ht="29.1" customHeight="1">
      <c r="B11" s="268" t="s">
        <v>6</v>
      </c>
      <c r="C11" s="334"/>
      <c r="D11" s="335"/>
      <c r="E11" s="336"/>
      <c r="F11" s="158" t="s">
        <v>5</v>
      </c>
      <c r="G11" s="269"/>
    </row>
    <row r="12" spans="2:7" ht="35.1" customHeight="1" thickBot="1">
      <c r="B12" s="270" t="s">
        <v>379</v>
      </c>
      <c r="C12" s="331"/>
      <c r="D12" s="332"/>
      <c r="E12" s="333"/>
      <c r="F12" s="271" t="s">
        <v>5</v>
      </c>
      <c r="G12" s="272"/>
    </row>
    <row r="13" spans="2:7" ht="17.55" customHeight="1" thickBot="1">
      <c r="B13" s="161"/>
      <c r="C13" s="162"/>
      <c r="D13" s="162"/>
      <c r="E13" s="162"/>
      <c r="F13" s="162"/>
      <c r="G13" s="163"/>
    </row>
    <row r="14" spans="2:7" ht="16.5" customHeight="1">
      <c r="B14" s="300" t="s">
        <v>468</v>
      </c>
      <c r="C14" s="315" t="s">
        <v>8</v>
      </c>
      <c r="D14" s="316"/>
      <c r="E14" s="316"/>
      <c r="F14" s="316"/>
      <c r="G14" s="317"/>
    </row>
    <row r="15" spans="2:7" ht="16.5" customHeight="1">
      <c r="B15" s="301"/>
      <c r="C15" s="303" t="s">
        <v>9</v>
      </c>
      <c r="D15" s="304"/>
      <c r="E15" s="304"/>
      <c r="F15" s="304"/>
      <c r="G15" s="305"/>
    </row>
    <row r="16" spans="2:7" ht="16.5" customHeight="1">
      <c r="B16" s="301"/>
      <c r="C16" s="303" t="s">
        <v>10</v>
      </c>
      <c r="D16" s="304"/>
      <c r="E16" s="304"/>
      <c r="F16" s="304"/>
      <c r="G16" s="305"/>
    </row>
    <row r="17" spans="2:7" ht="16.5" customHeight="1">
      <c r="B17" s="302"/>
      <c r="C17" s="303" t="s">
        <v>11</v>
      </c>
      <c r="D17" s="304"/>
      <c r="E17" s="304"/>
      <c r="F17" s="304"/>
      <c r="G17" s="305"/>
    </row>
    <row r="18" spans="2:7" ht="85.5" customHeight="1">
      <c r="B18" s="273" t="s">
        <v>12</v>
      </c>
      <c r="C18" s="303" t="s">
        <v>377</v>
      </c>
      <c r="D18" s="304"/>
      <c r="E18" s="304"/>
      <c r="F18" s="304"/>
      <c r="G18" s="305"/>
    </row>
    <row r="19" spans="2:7" ht="86.55" customHeight="1">
      <c r="B19" s="273" t="s">
        <v>469</v>
      </c>
      <c r="C19" s="303" t="s">
        <v>14</v>
      </c>
      <c r="D19" s="304"/>
      <c r="E19" s="304"/>
      <c r="F19" s="304"/>
      <c r="G19" s="305"/>
    </row>
    <row r="20" spans="2:7" ht="127.05" customHeight="1" thickBot="1">
      <c r="B20" s="274" t="s">
        <v>467</v>
      </c>
      <c r="C20" s="297" t="s">
        <v>476</v>
      </c>
      <c r="D20" s="298"/>
      <c r="E20" s="298"/>
      <c r="F20" s="298"/>
      <c r="G20" s="299"/>
    </row>
    <row r="21" spans="2:7"/>
    <row r="22" spans="2:7"/>
    <row r="23" spans="2:7"/>
    <row r="24" spans="2:7"/>
  </sheetData>
  <sheetProtection formatRows="0" insertRows="0" deleteRows="0" sort="0"/>
  <mergeCells count="17">
    <mergeCell ref="B1:G3"/>
    <mergeCell ref="C14:G14"/>
    <mergeCell ref="C5:G5"/>
    <mergeCell ref="C6:G6"/>
    <mergeCell ref="C8:G8"/>
    <mergeCell ref="F9:G9"/>
    <mergeCell ref="C10:E10"/>
    <mergeCell ref="C12:E12"/>
    <mergeCell ref="C7:G7"/>
    <mergeCell ref="C11:E11"/>
    <mergeCell ref="C20:G20"/>
    <mergeCell ref="B14:B17"/>
    <mergeCell ref="C15:G15"/>
    <mergeCell ref="C16:G16"/>
    <mergeCell ref="C17:G17"/>
    <mergeCell ref="C18:G18"/>
    <mergeCell ref="C19:G19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7008C06-581E-49E0-A76E-A588C769F251}">
          <x14:formula1>
            <xm:f>Listas!$B$4:$B$69</xm:f>
          </x14:formula1>
          <xm:sqref>C5:G5</xm:sqref>
        </x14:dataValidation>
        <x14:dataValidation type="list" allowBlank="1" showInputMessage="1" showErrorMessage="1" xr:uid="{6DBA4AAB-86C7-4848-BC30-8563A5661D99}">
          <x14:formula1>
            <xm:f>Listas!$H$3:$H$33</xm:f>
          </x14:formula1>
          <xm:sqref>C9:F9 C10:E10</xm:sqref>
        </x14:dataValidation>
        <x14:dataValidation type="list" allowBlank="1" showInputMessage="1" showErrorMessage="1" xr:uid="{EC52C806-3D7F-416D-8B8C-F937B77CAE62}">
          <x14:formula1>
            <xm:f>Listas!$F$3:$F$11</xm:f>
          </x14:formula1>
          <xm:sqref>C8:G8 C11:E11</xm:sqref>
        </x14:dataValidation>
        <x14:dataValidation type="list" allowBlank="1" showInputMessage="1" showErrorMessage="1" xr:uid="{4BC98D21-264B-46CB-9A06-0D904E0C41AA}">
          <x14:formula1>
            <xm:f>Listas!$D$3:$D$6</xm:f>
          </x14:formula1>
          <xm:sqref>C12:E12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C42A-687D-48F9-99A9-51D611B142D4}">
  <sheetPr codeName="Planilha2"/>
  <dimension ref="B1:P40"/>
  <sheetViews>
    <sheetView showGridLines="0" showZeros="0" topLeftCell="A15" zoomScale="70" zoomScaleNormal="70" workbookViewId="0">
      <selection activeCell="A41" sqref="A41:XFD1048576"/>
    </sheetView>
  </sheetViews>
  <sheetFormatPr defaultColWidth="0" defaultRowHeight="63" customHeight="1" zeroHeight="1"/>
  <cols>
    <col min="1" max="1" width="14.21875" style="159" customWidth="1"/>
    <col min="2" max="2" width="43.21875" style="159" customWidth="1"/>
    <col min="3" max="3" width="51" style="159" customWidth="1"/>
    <col min="4" max="4" width="94.21875" style="159" customWidth="1"/>
    <col min="5" max="5" width="51" style="169" customWidth="1"/>
    <col min="6" max="6" width="45.21875" style="159" customWidth="1"/>
    <col min="7" max="7" width="43.77734375" style="159" customWidth="1"/>
    <col min="8" max="8" width="11.77734375" style="159" hidden="1" customWidth="1"/>
    <col min="9" max="9" width="23.44140625" style="159" hidden="1" customWidth="1"/>
    <col min="10" max="10" width="24" style="159" hidden="1" customWidth="1"/>
    <col min="11" max="11" width="3.21875" style="159" hidden="1" customWidth="1"/>
    <col min="12" max="16" width="4.5546875" style="159" hidden="1" customWidth="1"/>
    <col min="17" max="16384" width="0" style="159" hidden="1"/>
  </cols>
  <sheetData>
    <row r="1" spans="2:7" ht="40.049999999999997" customHeight="1">
      <c r="B1" s="344" t="s">
        <v>16</v>
      </c>
      <c r="C1" s="344"/>
      <c r="D1" s="344"/>
      <c r="E1" s="344"/>
      <c r="F1" s="344"/>
      <c r="G1" s="341"/>
    </row>
    <row r="2" spans="2:7" ht="40.049999999999997" customHeight="1">
      <c r="B2" s="344"/>
      <c r="C2" s="344"/>
      <c r="D2" s="344"/>
      <c r="E2" s="344"/>
      <c r="F2" s="344"/>
      <c r="G2" s="341"/>
    </row>
    <row r="3" spans="2:7" ht="40.049999999999997" customHeight="1">
      <c r="B3" s="344"/>
      <c r="C3" s="344"/>
      <c r="D3" s="344"/>
      <c r="E3" s="344"/>
      <c r="F3" s="344"/>
      <c r="G3" s="341"/>
    </row>
    <row r="4" spans="2:7" ht="40.049999999999997" customHeight="1">
      <c r="B4" s="344"/>
      <c r="C4" s="344"/>
      <c r="D4" s="344"/>
      <c r="E4" s="344"/>
      <c r="F4" s="344"/>
      <c r="G4" s="341"/>
    </row>
    <row r="5" spans="2:7" ht="40.049999999999997" customHeight="1">
      <c r="B5" s="344"/>
      <c r="C5" s="344"/>
      <c r="D5" s="344"/>
      <c r="E5" s="344"/>
      <c r="F5" s="344"/>
      <c r="G5" s="341"/>
    </row>
    <row r="6" spans="2:7" ht="40.049999999999997" customHeight="1" thickBot="1">
      <c r="C6" s="160"/>
      <c r="D6" s="160"/>
      <c r="E6" s="171"/>
      <c r="F6" s="160"/>
      <c r="G6" s="160"/>
    </row>
    <row r="7" spans="2:7" ht="40.049999999999997" customHeight="1">
      <c r="B7" s="345" t="s">
        <v>1</v>
      </c>
      <c r="C7" s="346"/>
      <c r="D7" s="342">
        <f>Entendimento!C5</f>
        <v>0</v>
      </c>
      <c r="E7" s="342"/>
      <c r="F7" s="343"/>
      <c r="G7" s="81"/>
    </row>
    <row r="8" spans="2:7" ht="40.049999999999997" customHeight="1">
      <c r="B8" s="347" t="s">
        <v>399</v>
      </c>
      <c r="C8" s="348"/>
      <c r="D8" s="339">
        <f>Entendimento!C6</f>
        <v>0</v>
      </c>
      <c r="E8" s="339"/>
      <c r="F8" s="340"/>
    </row>
    <row r="9" spans="2:7" ht="29.1" customHeight="1" thickBot="1">
      <c r="B9" s="337" t="s">
        <v>4</v>
      </c>
      <c r="C9" s="338"/>
      <c r="D9" s="250"/>
      <c r="E9" s="249" t="s">
        <v>5</v>
      </c>
      <c r="F9" s="251"/>
      <c r="G9" s="240"/>
    </row>
    <row r="10" spans="2:7" ht="40.049999999999997" customHeight="1">
      <c r="B10" s="241"/>
      <c r="C10" s="241"/>
      <c r="D10" s="242"/>
      <c r="E10" s="242"/>
      <c r="F10" s="242"/>
      <c r="G10" s="61"/>
    </row>
    <row r="11" spans="2:7" ht="51" customHeight="1" thickBot="1">
      <c r="B11" s="166" t="s">
        <v>17</v>
      </c>
      <c r="C11" s="166" t="s">
        <v>18</v>
      </c>
      <c r="D11" s="166" t="s">
        <v>19</v>
      </c>
      <c r="E11" s="167" t="s">
        <v>20</v>
      </c>
      <c r="F11" s="168" t="s">
        <v>21</v>
      </c>
      <c r="G11" s="170"/>
    </row>
    <row r="12" spans="2:7" ht="35.1" customHeight="1">
      <c r="B12" s="349"/>
      <c r="C12" s="352" t="s">
        <v>390</v>
      </c>
      <c r="D12" s="198"/>
      <c r="E12" s="198" t="s">
        <v>363</v>
      </c>
      <c r="F12" s="199" t="s">
        <v>369</v>
      </c>
    </row>
    <row r="13" spans="2:7" ht="35.1" customHeight="1">
      <c r="B13" s="350"/>
      <c r="C13" s="353"/>
      <c r="D13" s="200"/>
      <c r="E13" s="200" t="s">
        <v>23</v>
      </c>
      <c r="F13" s="201" t="s">
        <v>370</v>
      </c>
    </row>
    <row r="14" spans="2:7" ht="35.1" customHeight="1" thickBot="1">
      <c r="B14" s="351"/>
      <c r="C14" s="354"/>
      <c r="D14" s="202"/>
      <c r="E14" s="202" t="s">
        <v>364</v>
      </c>
      <c r="F14" s="203" t="s">
        <v>371</v>
      </c>
    </row>
    <row r="15" spans="2:7" ht="52.5" customHeight="1">
      <c r="B15" s="349"/>
      <c r="C15" s="352" t="s">
        <v>391</v>
      </c>
      <c r="D15" s="198"/>
      <c r="E15" s="198" t="s">
        <v>365</v>
      </c>
      <c r="F15" s="199" t="s">
        <v>372</v>
      </c>
    </row>
    <row r="16" spans="2:7" ht="54.6" customHeight="1">
      <c r="B16" s="350"/>
      <c r="C16" s="353"/>
      <c r="D16" s="200"/>
      <c r="E16" s="200" t="s">
        <v>366</v>
      </c>
      <c r="F16" s="201" t="s">
        <v>373</v>
      </c>
    </row>
    <row r="17" spans="2:6" ht="54.6" customHeight="1" thickBot="1">
      <c r="B17" s="351"/>
      <c r="C17" s="354"/>
      <c r="D17" s="202"/>
      <c r="E17" s="202" t="s">
        <v>367</v>
      </c>
      <c r="F17" s="203" t="s">
        <v>374</v>
      </c>
    </row>
    <row r="18" spans="2:6" ht="52.05" customHeight="1">
      <c r="B18" s="349"/>
      <c r="C18" s="352" t="s">
        <v>28</v>
      </c>
      <c r="D18" s="198"/>
      <c r="E18" s="198" t="s">
        <v>29</v>
      </c>
      <c r="F18" s="199" t="s">
        <v>375</v>
      </c>
    </row>
    <row r="19" spans="2:6" ht="50.1" customHeight="1">
      <c r="B19" s="350"/>
      <c r="C19" s="353"/>
      <c r="D19" s="200"/>
      <c r="E19" s="200" t="s">
        <v>368</v>
      </c>
      <c r="F19" s="201" t="s">
        <v>376</v>
      </c>
    </row>
    <row r="20" spans="2:6" ht="35.1" customHeight="1" thickBot="1">
      <c r="B20" s="351"/>
      <c r="C20" s="354"/>
      <c r="D20" s="202"/>
      <c r="E20" s="202" t="s">
        <v>31</v>
      </c>
      <c r="F20" s="203" t="s">
        <v>32</v>
      </c>
    </row>
    <row r="21" spans="2:6" ht="35.1" customHeight="1">
      <c r="B21" s="349"/>
      <c r="C21" s="352" t="s">
        <v>33</v>
      </c>
      <c r="D21" s="198"/>
      <c r="E21" s="198" t="s">
        <v>34</v>
      </c>
      <c r="F21" s="199" t="s">
        <v>35</v>
      </c>
    </row>
    <row r="22" spans="2:6" ht="35.1" customHeight="1">
      <c r="B22" s="350"/>
      <c r="C22" s="353"/>
      <c r="D22" s="200"/>
      <c r="E22" s="200" t="s">
        <v>36</v>
      </c>
      <c r="F22" s="201" t="s">
        <v>37</v>
      </c>
    </row>
    <row r="23" spans="2:6" ht="35.1" customHeight="1" thickBot="1">
      <c r="B23" s="351"/>
      <c r="C23" s="354"/>
      <c r="D23" s="202"/>
      <c r="E23" s="202" t="s">
        <v>38</v>
      </c>
      <c r="F23" s="203" t="s">
        <v>39</v>
      </c>
    </row>
    <row r="24" spans="2:6" ht="35.1" customHeight="1">
      <c r="B24" s="349"/>
      <c r="C24" s="352" t="s">
        <v>40</v>
      </c>
      <c r="D24" s="198"/>
      <c r="E24" s="198" t="s">
        <v>41</v>
      </c>
      <c r="F24" s="199" t="s">
        <v>42</v>
      </c>
    </row>
    <row r="25" spans="2:6" ht="35.1" customHeight="1">
      <c r="B25" s="350"/>
      <c r="C25" s="353"/>
      <c r="D25" s="200"/>
      <c r="E25" s="200" t="s">
        <v>43</v>
      </c>
      <c r="F25" s="201" t="s">
        <v>44</v>
      </c>
    </row>
    <row r="26" spans="2:6" ht="35.1" customHeight="1" thickBot="1">
      <c r="B26" s="351"/>
      <c r="C26" s="354"/>
      <c r="D26" s="202"/>
      <c r="E26" s="202" t="s">
        <v>45</v>
      </c>
      <c r="F26" s="203" t="s">
        <v>46</v>
      </c>
    </row>
    <row r="27" spans="2:6" ht="35.1" customHeight="1">
      <c r="B27" s="349"/>
      <c r="C27" s="352" t="s">
        <v>47</v>
      </c>
      <c r="D27" s="198"/>
      <c r="E27" s="198" t="s">
        <v>48</v>
      </c>
      <c r="F27" s="199" t="s">
        <v>49</v>
      </c>
    </row>
    <row r="28" spans="2:6" ht="35.1" customHeight="1">
      <c r="B28" s="350"/>
      <c r="C28" s="353"/>
      <c r="D28" s="200"/>
      <c r="E28" s="200" t="s">
        <v>50</v>
      </c>
      <c r="F28" s="201" t="s">
        <v>51</v>
      </c>
    </row>
    <row r="29" spans="2:6" ht="35.1" customHeight="1" thickBot="1">
      <c r="B29" s="351"/>
      <c r="C29" s="354"/>
      <c r="D29" s="202"/>
      <c r="E29" s="202" t="s">
        <v>52</v>
      </c>
      <c r="F29" s="203" t="s">
        <v>53</v>
      </c>
    </row>
    <row r="30" spans="2:6" ht="35.1" customHeight="1">
      <c r="B30" s="349"/>
      <c r="C30" s="352" t="s">
        <v>54</v>
      </c>
      <c r="D30" s="198"/>
      <c r="E30" s="198" t="s">
        <v>55</v>
      </c>
      <c r="F30" s="199" t="s">
        <v>56</v>
      </c>
    </row>
    <row r="31" spans="2:6" ht="35.1" customHeight="1">
      <c r="B31" s="350"/>
      <c r="C31" s="353"/>
      <c r="D31" s="200"/>
      <c r="E31" s="200" t="s">
        <v>57</v>
      </c>
      <c r="F31" s="201" t="s">
        <v>58</v>
      </c>
    </row>
    <row r="32" spans="2:6" ht="35.1" customHeight="1" thickBot="1">
      <c r="B32" s="351"/>
      <c r="C32" s="354"/>
      <c r="D32" s="202"/>
      <c r="E32" s="202" t="s">
        <v>59</v>
      </c>
      <c r="F32" s="203" t="s">
        <v>60</v>
      </c>
    </row>
    <row r="33" spans="2:6" ht="35.1" customHeight="1">
      <c r="B33" s="349"/>
      <c r="C33" s="352" t="s">
        <v>61</v>
      </c>
      <c r="D33" s="198"/>
      <c r="E33" s="198" t="s">
        <v>62</v>
      </c>
      <c r="F33" s="199" t="s">
        <v>63</v>
      </c>
    </row>
    <row r="34" spans="2:6" ht="35.1" customHeight="1">
      <c r="B34" s="350"/>
      <c r="C34" s="353"/>
      <c r="D34" s="200"/>
      <c r="E34" s="200" t="s">
        <v>64</v>
      </c>
      <c r="F34" s="201" t="s">
        <v>65</v>
      </c>
    </row>
    <row r="35" spans="2:6" ht="35.1" customHeight="1" thickBot="1">
      <c r="B35" s="351"/>
      <c r="C35" s="354"/>
      <c r="D35" s="202"/>
      <c r="E35" s="202" t="s">
        <v>66</v>
      </c>
      <c r="F35" s="203" t="s">
        <v>67</v>
      </c>
    </row>
    <row r="36" spans="2:6" ht="35.1" customHeight="1">
      <c r="B36" s="349"/>
      <c r="C36" s="352" t="s">
        <v>68</v>
      </c>
      <c r="D36" s="198"/>
      <c r="E36" s="198" t="s">
        <v>69</v>
      </c>
      <c r="F36" s="199" t="s">
        <v>70</v>
      </c>
    </row>
    <row r="37" spans="2:6" ht="35.1" customHeight="1">
      <c r="B37" s="350"/>
      <c r="C37" s="353"/>
      <c r="D37" s="200"/>
      <c r="E37" s="200" t="s">
        <v>71</v>
      </c>
      <c r="F37" s="201" t="s">
        <v>72</v>
      </c>
    </row>
    <row r="38" spans="2:6" ht="63" customHeight="1" thickBot="1">
      <c r="B38" s="351"/>
      <c r="C38" s="354"/>
      <c r="D38" s="202"/>
      <c r="E38" s="202" t="s">
        <v>73</v>
      </c>
      <c r="F38" s="203" t="s">
        <v>74</v>
      </c>
    </row>
    <row r="39" spans="2:6" ht="63" customHeight="1"/>
    <row r="40" spans="2:6" ht="63" customHeight="1"/>
  </sheetData>
  <sheetProtection formatRows="0" insertRows="0" deleteRows="0" sort="0"/>
  <mergeCells count="25">
    <mergeCell ref="B24:B26"/>
    <mergeCell ref="B27:B29"/>
    <mergeCell ref="B30:B32"/>
    <mergeCell ref="B33:B35"/>
    <mergeCell ref="B36:B38"/>
    <mergeCell ref="C24:C26"/>
    <mergeCell ref="C27:C29"/>
    <mergeCell ref="C30:C32"/>
    <mergeCell ref="C33:C35"/>
    <mergeCell ref="C36:C38"/>
    <mergeCell ref="B12:B14"/>
    <mergeCell ref="C12:C14"/>
    <mergeCell ref="C15:C17"/>
    <mergeCell ref="C18:C20"/>
    <mergeCell ref="C21:C23"/>
    <mergeCell ref="B15:B17"/>
    <mergeCell ref="B18:B20"/>
    <mergeCell ref="B21:B23"/>
    <mergeCell ref="B9:C9"/>
    <mergeCell ref="D8:F8"/>
    <mergeCell ref="G1:G5"/>
    <mergeCell ref="D7:F7"/>
    <mergeCell ref="B1:F5"/>
    <mergeCell ref="B7:C7"/>
    <mergeCell ref="B8:C8"/>
  </mergeCells>
  <phoneticPr fontId="29" type="noConversion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69685AE-B126-491E-A48C-F52F4101C9F6}">
          <x14:formula1>
            <xm:f>Entendimento!$C$14:$C$17</xm:f>
          </x14:formula1>
          <xm:sqref>B40:B41 B36 B33 B30 B27 B24 B21 B18 B15 B12</xm:sqref>
        </x14:dataValidation>
        <x14:dataValidation type="list" allowBlank="1" showInputMessage="1" showErrorMessage="1" xr:uid="{00F7F96F-7568-43B5-B743-407BD775049B}">
          <x14:formula1>
            <xm:f>Vulnerabilidades!$A$3:$L$3</xm:f>
          </x14:formula1>
          <xm:sqref>D12:D14</xm:sqref>
        </x14:dataValidation>
        <x14:dataValidation type="list" allowBlank="1" showInputMessage="1" showErrorMessage="1" xr:uid="{BB3CE449-5F0F-4DAB-95F5-E38370590802}">
          <x14:formula1>
            <xm:f>Vulnerabilidades!$B$3:$L$3</xm:f>
          </x14:formula1>
          <xm:sqref>D40:D41 D15:D38</xm:sqref>
        </x14:dataValidation>
        <x14:dataValidation type="list" allowBlank="1" showInputMessage="1" showErrorMessage="1" xr:uid="{539E485A-92CA-4F0D-89CB-9E2115B19CFD}">
          <x14:formula1>
            <xm:f>Listas!$H$3:$H$33</xm:f>
          </x14:formula1>
          <xm:sqref>D9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0C82-E5C4-4F39-B46B-8F27B3AEB1FD}">
  <sheetPr codeName="Planilha3"/>
  <dimension ref="A1:AC54"/>
  <sheetViews>
    <sheetView showGridLines="0" showZeros="0" topLeftCell="K8" zoomScale="80" zoomScaleNormal="80" workbookViewId="0">
      <selection activeCell="T11" sqref="T11"/>
    </sheetView>
  </sheetViews>
  <sheetFormatPr defaultColWidth="0" defaultRowHeight="14.4" zeroHeight="1"/>
  <cols>
    <col min="1" max="1" width="25.21875" style="175" customWidth="1"/>
    <col min="2" max="2" width="40.77734375" style="177" customWidth="1"/>
    <col min="3" max="3" width="26.44140625" style="177" customWidth="1"/>
    <col min="4" max="4" width="47" style="177" customWidth="1"/>
    <col min="5" max="5" width="28.21875" style="175" customWidth="1"/>
    <col min="6" max="6" width="21.44140625" style="174" hidden="1" customWidth="1"/>
    <col min="7" max="7" width="29.77734375" style="174" customWidth="1"/>
    <col min="8" max="8" width="11.77734375" style="175" hidden="1" customWidth="1"/>
    <col min="9" max="9" width="30.21875" style="178" customWidth="1"/>
    <col min="10" max="10" width="29.77734375" style="175" customWidth="1"/>
    <col min="11" max="11" width="30.77734375" style="178" customWidth="1"/>
    <col min="12" max="12" width="41.77734375" style="178" customWidth="1"/>
    <col min="13" max="13" width="40.5546875" style="159" customWidth="1"/>
    <col min="14" max="14" width="40.44140625" style="159" customWidth="1"/>
    <col min="15" max="15" width="41.21875" style="188" customWidth="1"/>
    <col min="16" max="16" width="40.21875" style="159" customWidth="1"/>
    <col min="17" max="17" width="36.21875" style="188" customWidth="1"/>
    <col min="18" max="18" width="33.21875" style="159" customWidth="1"/>
    <col min="19" max="19" width="29.44140625" style="159" customWidth="1"/>
    <col min="20" max="20" width="32.77734375" style="179" customWidth="1"/>
    <col min="21" max="21" width="8" style="179" customWidth="1"/>
    <col min="22" max="22" width="59.77734375" style="179" hidden="1" customWidth="1"/>
    <col min="23" max="23" width="5.44140625" style="179" hidden="1" customWidth="1"/>
    <col min="24" max="24" width="5.44140625" style="175" hidden="1" customWidth="1"/>
    <col min="25" max="25" width="7.21875" style="175" hidden="1" customWidth="1"/>
    <col min="26" max="26" width="55.5546875" style="175" hidden="1" customWidth="1"/>
    <col min="27" max="27" width="45.21875" style="175" hidden="1" customWidth="1"/>
    <col min="28" max="28" width="55.5546875" style="175" hidden="1" customWidth="1"/>
    <col min="29" max="29" width="45.21875" style="175" hidden="1" customWidth="1"/>
    <col min="30" max="16384" width="7.21875" style="175" hidden="1"/>
  </cols>
  <sheetData>
    <row r="1" spans="1:27" s="181" customFormat="1" ht="43.05" customHeight="1">
      <c r="A1" s="173"/>
      <c r="B1" s="355" t="s">
        <v>75</v>
      </c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173"/>
    </row>
    <row r="2" spans="1:27" s="186" customFormat="1" ht="42.6" customHeight="1">
      <c r="A2" s="182"/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182"/>
    </row>
    <row r="3" spans="1:27" s="186" customFormat="1" ht="42.6" customHeight="1">
      <c r="A3" s="182"/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5"/>
      <c r="N3" s="355"/>
      <c r="O3" s="355"/>
      <c r="P3" s="355"/>
      <c r="Q3" s="355"/>
      <c r="R3" s="355"/>
      <c r="S3" s="355"/>
      <c r="T3" s="355"/>
      <c r="U3" s="182"/>
    </row>
    <row r="4" spans="1:27" s="186" customFormat="1" ht="42.6" customHeight="1">
      <c r="A4" s="182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  <c r="R4" s="355"/>
      <c r="S4" s="355"/>
      <c r="T4" s="355"/>
      <c r="U4" s="182"/>
    </row>
    <row r="5" spans="1:27" s="186" customFormat="1" ht="42.6" customHeight="1">
      <c r="A5" s="182"/>
      <c r="B5" s="355"/>
      <c r="C5" s="355"/>
      <c r="D5" s="355"/>
      <c r="E5" s="355"/>
      <c r="F5" s="355"/>
      <c r="G5" s="355"/>
      <c r="H5" s="355"/>
      <c r="I5" s="355"/>
      <c r="J5" s="355"/>
      <c r="K5" s="355"/>
      <c r="L5" s="355"/>
      <c r="M5" s="355"/>
      <c r="N5" s="355"/>
      <c r="O5" s="355"/>
      <c r="P5" s="355"/>
      <c r="Q5" s="355"/>
      <c r="R5" s="355"/>
      <c r="S5" s="355"/>
      <c r="T5" s="355"/>
      <c r="U5" s="182"/>
    </row>
    <row r="6" spans="1:27" s="186" customFormat="1" ht="42.6" customHeight="1">
      <c r="A6" s="182"/>
      <c r="B6" s="355"/>
      <c r="C6" s="355"/>
      <c r="D6" s="355"/>
      <c r="E6" s="355"/>
      <c r="F6" s="355"/>
      <c r="G6" s="355"/>
      <c r="H6" s="355"/>
      <c r="I6" s="355"/>
      <c r="J6" s="355"/>
      <c r="K6" s="355"/>
      <c r="L6" s="355"/>
      <c r="M6" s="355"/>
      <c r="N6" s="355"/>
      <c r="O6" s="355"/>
      <c r="P6" s="355"/>
      <c r="Q6" s="355"/>
      <c r="R6" s="355"/>
      <c r="S6" s="355"/>
      <c r="T6" s="355"/>
      <c r="U6" s="182"/>
    </row>
    <row r="7" spans="1:27" s="186" customFormat="1" ht="42.6" customHeight="1">
      <c r="A7" s="182"/>
      <c r="B7" s="157" t="str">
        <f>Entendimento!B5</f>
        <v>Unidade Auditada:</v>
      </c>
      <c r="C7" s="356">
        <f>Entendimento!C5</f>
        <v>0</v>
      </c>
      <c r="D7" s="357"/>
      <c r="E7" s="357"/>
      <c r="F7" s="357"/>
      <c r="G7" s="357"/>
      <c r="H7" s="357"/>
      <c r="I7" s="357"/>
      <c r="J7" s="357"/>
      <c r="K7" s="358"/>
      <c r="L7" s="220"/>
      <c r="M7" s="185"/>
      <c r="N7" s="185"/>
      <c r="O7" s="220"/>
      <c r="P7" s="185"/>
      <c r="Q7" s="220"/>
      <c r="R7" s="185"/>
      <c r="S7" s="185"/>
      <c r="T7" s="165"/>
      <c r="U7" s="182"/>
    </row>
    <row r="8" spans="1:27" s="186" customFormat="1" ht="42.6" customHeight="1">
      <c r="A8" s="182"/>
      <c r="B8" s="157" t="str">
        <f>Entendimento!B6</f>
        <v>N° da Base de Auditoria:</v>
      </c>
      <c r="C8" s="359">
        <f>Entendimento!C6</f>
        <v>0</v>
      </c>
      <c r="D8" s="360"/>
      <c r="E8" s="360"/>
      <c r="F8" s="360"/>
      <c r="G8" s="360"/>
      <c r="H8" s="360"/>
      <c r="I8" s="360"/>
      <c r="J8" s="360"/>
      <c r="K8" s="361"/>
      <c r="L8" s="220"/>
      <c r="M8" s="185"/>
      <c r="N8" s="185"/>
      <c r="O8" s="220"/>
      <c r="P8" s="185"/>
      <c r="Q8" s="220"/>
      <c r="R8" s="185"/>
      <c r="S8" s="185"/>
      <c r="T8" s="165"/>
      <c r="U8" s="182"/>
    </row>
    <row r="9" spans="1:27" s="186" customFormat="1" ht="13.5" customHeight="1">
      <c r="A9" s="182"/>
      <c r="B9" s="183"/>
      <c r="C9" s="183"/>
      <c r="D9" s="133"/>
      <c r="E9" s="133"/>
      <c r="F9" s="133"/>
      <c r="G9" s="133"/>
      <c r="H9" s="133"/>
      <c r="I9" s="184"/>
      <c r="J9" s="184"/>
      <c r="K9" s="184"/>
      <c r="L9" s="220"/>
      <c r="M9" s="185"/>
      <c r="N9" s="185"/>
      <c r="O9" s="220"/>
      <c r="P9" s="185"/>
      <c r="Q9" s="220"/>
      <c r="R9" s="185"/>
      <c r="S9" s="185"/>
      <c r="T9" s="182"/>
      <c r="U9" s="182"/>
    </row>
    <row r="10" spans="1:27" s="252" customFormat="1" ht="126.6" customHeight="1">
      <c r="B10" s="362" t="s">
        <v>76</v>
      </c>
      <c r="C10" s="362"/>
      <c r="D10" s="362"/>
      <c r="E10" s="363" t="s">
        <v>77</v>
      </c>
      <c r="F10" s="363"/>
      <c r="G10" s="363"/>
      <c r="H10" s="363"/>
      <c r="I10" s="363"/>
      <c r="J10" s="363"/>
      <c r="K10" s="364" t="s">
        <v>78</v>
      </c>
      <c r="L10" s="364"/>
      <c r="M10" s="364"/>
      <c r="N10" s="365" t="s">
        <v>79</v>
      </c>
      <c r="O10" s="365"/>
      <c r="P10" s="365"/>
      <c r="Q10" s="365"/>
      <c r="R10" s="365"/>
      <c r="S10" s="365"/>
      <c r="T10" s="365"/>
      <c r="U10" s="253"/>
      <c r="V10" s="253"/>
      <c r="W10" s="253"/>
    </row>
    <row r="11" spans="1:27" s="174" customFormat="1" ht="122.55" customHeight="1">
      <c r="B11" s="157" t="s">
        <v>17</v>
      </c>
      <c r="C11" s="157" t="s">
        <v>81</v>
      </c>
      <c r="D11" s="157" t="s">
        <v>18</v>
      </c>
      <c r="E11" s="191" t="s">
        <v>82</v>
      </c>
      <c r="F11" s="191" t="s">
        <v>83</v>
      </c>
      <c r="G11" s="191" t="s">
        <v>84</v>
      </c>
      <c r="H11" s="191" t="s">
        <v>85</v>
      </c>
      <c r="I11" s="191" t="s">
        <v>86</v>
      </c>
      <c r="J11" s="191" t="s">
        <v>87</v>
      </c>
      <c r="K11" s="192" t="s">
        <v>88</v>
      </c>
      <c r="L11" s="192" t="s">
        <v>89</v>
      </c>
      <c r="M11" s="192" t="s">
        <v>90</v>
      </c>
      <c r="N11" s="193" t="s">
        <v>91</v>
      </c>
      <c r="O11" s="193" t="s">
        <v>92</v>
      </c>
      <c r="P11" s="193" t="s">
        <v>93</v>
      </c>
      <c r="Q11" s="193" t="s">
        <v>94</v>
      </c>
      <c r="R11" s="193" t="s">
        <v>95</v>
      </c>
      <c r="S11" s="193" t="s">
        <v>378</v>
      </c>
      <c r="T11" s="193" t="s">
        <v>483</v>
      </c>
    </row>
    <row r="12" spans="1:27" ht="106.05" customHeight="1">
      <c r="B12" s="204">
        <f>'Identificação e Análise'!B12</f>
        <v>0</v>
      </c>
      <c r="C12" s="153" t="s">
        <v>97</v>
      </c>
      <c r="D12" s="152" t="str">
        <f>'Identificação e Análise'!C12</f>
        <v>R1 -</v>
      </c>
      <c r="E12" s="117"/>
      <c r="F12" s="118" t="e">
        <f>VLOOKUP(Tabela1[[#This Row],[Probabilidade]],Tabelas!$B$4:$D$8,3,0)</f>
        <v>#N/A</v>
      </c>
      <c r="G12" s="118"/>
      <c r="H12" s="118" t="e">
        <f>VLOOKUP(Tabela1[[#This Row],[Impacto]],Tabelas!$F$4:$H$8,3,0)</f>
        <v>#N/A</v>
      </c>
      <c r="I12" s="196" t="str">
        <f t="shared" ref="I12:I20" si="0">IFERROR(H12*F12," ")</f>
        <v xml:space="preserve"> </v>
      </c>
      <c r="J12" s="196" t="str">
        <f>IFERROR(IF(H12*F12=0," ",IF(F12*H12&lt;=5,Tabelas!$J$4,IF(F12*H12&lt;=10,Tabelas!$J$5,IF(F12*H12&lt;=15,Tabelas!$J$6,IF(F12*H12&lt;=20,Tabelas!$J$7,IF(F12*H12=25,Tabelas!$J$8))))))," ")</f>
        <v xml:space="preserve"> </v>
      </c>
      <c r="K12" s="205"/>
      <c r="L12" s="221"/>
      <c r="M12" s="197" t="str">
        <f>IFERROR(VLOOKUP(Tabela1[[#This Row],[Avaliação Preliminar do Controle (Teste de Desenho)]],Tabelas!$N$4:$P$8,3,0),"")</f>
        <v/>
      </c>
      <c r="N12" s="208" t="str">
        <f>IFERROR(VLOOKUP(Tabela1[[#This Row],[Classificação do Risco Inerente]]&amp;Tabela1[[#This Row],[Avaliação Preliminar do Controle (Teste de Desenho)]],Tabelas!$X$4:$Y$28,2,0),"")</f>
        <v/>
      </c>
      <c r="O12" s="211" t="str">
        <f>IFERROR(VLOOKUP(Tabela1[[#This Row],[Classificação do Risco Inerente]]&amp;Tabela1[[#This Row],[Avaliação Preliminar do Controle (Teste de Desenho)]],Tabelas!$X$4:$Z$28,3,0),"")</f>
        <v/>
      </c>
      <c r="P12" s="209"/>
      <c r="Q12" s="210" t="str">
        <f>IFERROR(VLOOKUP(Tabela1[[#This Row],[Classificação do Risco Inerente]]&amp;Tabela1[[#This Row],[Avaliação Preliminar do Controle (Teste de Desenho)]],Tabelas!$X$4:$AA$28,4,0),"")</f>
        <v/>
      </c>
      <c r="R12" s="210" t="str">
        <f>IFERROR(VLOOKUP(Tabela1[[#This Row],[Classificação do Risco Inerente]]&amp;Tabela1[[#This Row],[Avaliação Preliminar do Controle (Teste de Desenho)]],Tabelas!$X$4:$AB$28,5,0),"")</f>
        <v/>
      </c>
      <c r="S12" s="208"/>
      <c r="T12" s="211"/>
      <c r="U12" s="173"/>
      <c r="V12" s="174"/>
      <c r="W12" s="173"/>
      <c r="X12" s="174"/>
      <c r="Y12" s="174"/>
      <c r="Z12" s="174"/>
      <c r="AA12" s="175" t="s">
        <v>80</v>
      </c>
    </row>
    <row r="13" spans="1:27" ht="106.05" customHeight="1">
      <c r="B13" s="204">
        <f>'Identificação e Análise'!B15</f>
        <v>0</v>
      </c>
      <c r="C13" s="153" t="s">
        <v>98</v>
      </c>
      <c r="D13" s="152" t="str">
        <f>'Identificação e Análise'!C15</f>
        <v>R2 -</v>
      </c>
      <c r="E13" s="136"/>
      <c r="F13" s="118" t="e">
        <f>VLOOKUP(Tabela1[[#This Row],[Probabilidade]],Tabelas!$B$4:$D$8,3,0)</f>
        <v>#N/A</v>
      </c>
      <c r="G13" s="118"/>
      <c r="H13" s="118" t="e">
        <f>VLOOKUP(Tabela1[[#This Row],[Impacto]],Tabelas!$F$4:$H$8,3,0)</f>
        <v>#N/A</v>
      </c>
      <c r="I13" s="196" t="str">
        <f t="shared" si="0"/>
        <v xml:space="preserve"> </v>
      </c>
      <c r="J13" s="196" t="str">
        <f>IFERROR(IF(H13*F13=0," ",IF(F13*H13&lt;=5,Tabelas!$J$4,IF(F13*H13&lt;=10,Tabelas!$J$5,IF(F13*H13&lt;=15,Tabelas!$J$6,IF(F13*H13&lt;=20,Tabelas!$J$7,IF(F13*H13=25,Tabelas!$J$8))))))," ")</f>
        <v xml:space="preserve"> </v>
      </c>
      <c r="K13" s="205"/>
      <c r="L13" s="222"/>
      <c r="M13" s="194" t="str">
        <f>IFERROR(VLOOKUP(Tabela1[[#This Row],[Avaliação Preliminar do Controle (Teste de Desenho)]],Tabelas!$N$4:$P$8,3,0),"")</f>
        <v/>
      </c>
      <c r="N13" s="208" t="str">
        <f>IFERROR(VLOOKUP(Tabela1[[#This Row],[Classificação do Risco Inerente]]&amp;Tabela1[[#This Row],[Avaliação Preliminar do Controle (Teste de Desenho)]],Tabelas!$X$4:$Y$28,2,0),"")</f>
        <v/>
      </c>
      <c r="O13" s="211" t="str">
        <f>IFERROR(VLOOKUP(Tabela1[[#This Row],[Classificação do Risco Inerente]]&amp;Tabela1[[#This Row],[Avaliação Preliminar do Controle (Teste de Desenho)]],Tabelas!$X$4:$Z$28,3,0),"")</f>
        <v/>
      </c>
      <c r="P13" s="209"/>
      <c r="Q13" s="210" t="str">
        <f>IFERROR(VLOOKUP(Tabela1[[#This Row],[Classificação do Risco Inerente]]&amp;Tabela1[[#This Row],[Avaliação Preliminar do Controle (Teste de Desenho)]],Tabelas!$X$4:$AA$28,4,0),"")</f>
        <v/>
      </c>
      <c r="R13" s="210" t="str">
        <f>IFERROR(VLOOKUP(Tabela1[[#This Row],[Classificação do Risco Inerente]]&amp;Tabela1[[#This Row],[Avaliação Preliminar do Controle (Teste de Desenho)]],Tabelas!$X$4:$AB$28,5,0),"")</f>
        <v/>
      </c>
      <c r="S13" s="208"/>
      <c r="T13" s="211"/>
      <c r="U13" s="173"/>
      <c r="V13" s="175"/>
      <c r="W13" s="173"/>
      <c r="AA13" s="174" t="s">
        <v>96</v>
      </c>
    </row>
    <row r="14" spans="1:27" ht="106.05" customHeight="1">
      <c r="B14" s="204">
        <f>'Identificação e Análise'!B18</f>
        <v>0</v>
      </c>
      <c r="C14" s="153" t="s">
        <v>99</v>
      </c>
      <c r="D14" s="152" t="str">
        <f>'Identificação e Análise'!C18</f>
        <v xml:space="preserve">R3 - </v>
      </c>
      <c r="E14" s="136"/>
      <c r="F14" s="118" t="e">
        <f>VLOOKUP(Tabela1[[#This Row],[Probabilidade]],Tabelas!$B$4:$D$8,3,0)</f>
        <v>#N/A</v>
      </c>
      <c r="G14" s="118"/>
      <c r="H14" s="118" t="e">
        <f>VLOOKUP(Tabela1[[#This Row],[Impacto]],Tabelas!$F$4:$H$8,3,0)</f>
        <v>#N/A</v>
      </c>
      <c r="I14" s="196" t="str">
        <f t="shared" si="0"/>
        <v xml:space="preserve"> </v>
      </c>
      <c r="J14" s="196" t="str">
        <f>IFERROR(IF(H14*F14=0," ",IF(F14*H14&lt;=5,Tabelas!$J$4,IF(F14*H14&lt;=10,Tabelas!$J$5,IF(F14*H14&lt;=15,Tabelas!$J$6,IF(F14*H14&lt;=20,Tabelas!$J$7,IF(F14*H14=25,Tabelas!$J$8))))))," ")</f>
        <v xml:space="preserve"> </v>
      </c>
      <c r="K14" s="205"/>
      <c r="L14" s="222"/>
      <c r="M14" s="194" t="str">
        <f>IFERROR(VLOOKUP(Tabela1[[#This Row],[Avaliação Preliminar do Controle (Teste de Desenho)]],Tabelas!$N$4:$P$8,3,0),"")</f>
        <v/>
      </c>
      <c r="N14" s="208" t="str">
        <f>IFERROR(VLOOKUP(Tabela1[[#This Row],[Classificação do Risco Inerente]]&amp;Tabela1[[#This Row],[Avaliação Preliminar do Controle (Teste de Desenho)]],Tabelas!$X$4:$Y$28,2,0),"")</f>
        <v/>
      </c>
      <c r="O14" s="211" t="str">
        <f>IFERROR(VLOOKUP(Tabela1[[#This Row],[Classificação do Risco Inerente]]&amp;Tabela1[[#This Row],[Avaliação Preliminar do Controle (Teste de Desenho)]],Tabelas!$X$4:$Z$28,3,0),"")</f>
        <v/>
      </c>
      <c r="P14" s="209"/>
      <c r="Q14" s="210" t="str">
        <f>IFERROR(VLOOKUP(Tabela1[[#This Row],[Classificação do Risco Inerente]]&amp;Tabela1[[#This Row],[Avaliação Preliminar do Controle (Teste de Desenho)]],Tabelas!$X$4:$AA$28,4,0),"")</f>
        <v/>
      </c>
      <c r="R14" s="210" t="str">
        <f>IFERROR(VLOOKUP(Tabela1[[#This Row],[Classificação do Risco Inerente]]&amp;Tabela1[[#This Row],[Avaliação Preliminar do Controle (Teste de Desenho)]],Tabelas!$X$4:$AB$28,5,0),"")</f>
        <v/>
      </c>
      <c r="S14" s="208"/>
      <c r="T14" s="211"/>
      <c r="U14" s="173"/>
      <c r="V14" s="175"/>
      <c r="W14" s="173"/>
    </row>
    <row r="15" spans="1:27" ht="106.05" customHeight="1">
      <c r="B15" s="204">
        <f>'Identificação e Análise'!B21</f>
        <v>0</v>
      </c>
      <c r="C15" s="153" t="s">
        <v>100</v>
      </c>
      <c r="D15" s="152" t="str">
        <f>'Identificação e Análise'!C21</f>
        <v>R4 -</v>
      </c>
      <c r="E15" s="136"/>
      <c r="F15" s="118" t="e">
        <f>VLOOKUP(Tabela1[[#This Row],[Probabilidade]],Tabelas!$B$4:$D$8,3,0)</f>
        <v>#N/A</v>
      </c>
      <c r="G15" s="118"/>
      <c r="H15" s="118" t="e">
        <f>VLOOKUP(Tabela1[[#This Row],[Impacto]],Tabelas!$F$4:$H$8,3,0)</f>
        <v>#N/A</v>
      </c>
      <c r="I15" s="196" t="str">
        <f t="shared" si="0"/>
        <v xml:space="preserve"> </v>
      </c>
      <c r="J15" s="196" t="str">
        <f>IFERROR(IF(H15*F15=0," ",IF(F15*H15&lt;=5,Tabelas!$J$4,IF(F15*H15&lt;=10,Tabelas!$J$5,IF(F15*H15&lt;=15,Tabelas!$J$6,IF(F15*H15&lt;=20,Tabelas!$J$7,IF(F15*H15=25,Tabelas!$J$8))))))," ")</f>
        <v xml:space="preserve"> </v>
      </c>
      <c r="K15" s="205"/>
      <c r="L15" s="222"/>
      <c r="M15" s="194" t="str">
        <f>IFERROR(VLOOKUP(Tabela1[[#This Row],[Avaliação Preliminar do Controle (Teste de Desenho)]],Tabelas!$N$4:$P$8,3,0),"")</f>
        <v/>
      </c>
      <c r="N15" s="208" t="str">
        <f>IFERROR(VLOOKUP(Tabela1[[#This Row],[Classificação do Risco Inerente]]&amp;Tabela1[[#This Row],[Avaliação Preliminar do Controle (Teste de Desenho)]],Tabelas!$X$4:$Y$28,2,0),"")</f>
        <v/>
      </c>
      <c r="O15" s="211" t="str">
        <f>IFERROR(VLOOKUP(Tabela1[[#This Row],[Classificação do Risco Inerente]]&amp;Tabela1[[#This Row],[Avaliação Preliminar do Controle (Teste de Desenho)]],Tabelas!$X$4:$Z$28,3,0),"")</f>
        <v/>
      </c>
      <c r="P15" s="209"/>
      <c r="Q15" s="210" t="str">
        <f>IFERROR(VLOOKUP(Tabela1[[#This Row],[Classificação do Risco Inerente]]&amp;Tabela1[[#This Row],[Avaliação Preliminar do Controle (Teste de Desenho)]],Tabelas!$X$4:$AA$28,4,0),"")</f>
        <v/>
      </c>
      <c r="R15" s="210" t="str">
        <f>IFERROR(VLOOKUP(Tabela1[[#This Row],[Classificação do Risco Inerente]]&amp;Tabela1[[#This Row],[Avaliação Preliminar do Controle (Teste de Desenho)]],Tabelas!$X$4:$AB$28,5,0),"")</f>
        <v/>
      </c>
      <c r="S15" s="208"/>
      <c r="T15" s="211"/>
      <c r="U15" s="173"/>
      <c r="V15" s="175"/>
      <c r="W15" s="173"/>
    </row>
    <row r="16" spans="1:27" ht="106.05" customHeight="1">
      <c r="B16" s="204">
        <f>'Identificação e Análise'!B24</f>
        <v>0</v>
      </c>
      <c r="C16" s="153" t="s">
        <v>101</v>
      </c>
      <c r="D16" s="152" t="str">
        <f>'Identificação e Análise'!C24</f>
        <v>R5 -</v>
      </c>
      <c r="E16" s="136"/>
      <c r="F16" s="118" t="e">
        <f>VLOOKUP(Tabela1[[#This Row],[Probabilidade]],Tabelas!$B$4:$D$8,3,0)</f>
        <v>#N/A</v>
      </c>
      <c r="G16" s="118"/>
      <c r="H16" s="118" t="e">
        <f>VLOOKUP(Tabela1[[#This Row],[Impacto]],Tabelas!$F$4:$H$8,3,0)</f>
        <v>#N/A</v>
      </c>
      <c r="I16" s="196" t="str">
        <f t="shared" si="0"/>
        <v xml:space="preserve"> </v>
      </c>
      <c r="J16" s="196" t="str">
        <f>IFERROR(IF(H16*F16=0," ",IF(F16*H16&lt;=5,Tabelas!$J$4,IF(F16*H16&lt;=10,Tabelas!$J$5,IF(F16*H16&lt;=15,Tabelas!$J$6,IF(F16*H16&lt;=20,Tabelas!$J$7,IF(F16*H16=25,Tabelas!$J$8))))))," ")</f>
        <v xml:space="preserve"> </v>
      </c>
      <c r="K16" s="205"/>
      <c r="L16" s="222"/>
      <c r="M16" s="195" t="str">
        <f>IFERROR(VLOOKUP(Tabela1[[#This Row],[Avaliação Preliminar do Controle (Teste de Desenho)]],Tabelas!$N$4:$P$8,3,0),"")</f>
        <v/>
      </c>
      <c r="N16" s="208" t="str">
        <f>IFERROR(VLOOKUP(Tabela1[[#This Row],[Classificação do Risco Inerente]]&amp;Tabela1[[#This Row],[Avaliação Preliminar do Controle (Teste de Desenho)]],Tabelas!$X$4:$Y$28,2,0),"")</f>
        <v/>
      </c>
      <c r="O16" s="211" t="str">
        <f>IFERROR(VLOOKUP(Tabela1[[#This Row],[Classificação do Risco Inerente]]&amp;Tabela1[[#This Row],[Avaliação Preliminar do Controle (Teste de Desenho)]],Tabelas!$X$4:$Z$28,3,0),"")</f>
        <v/>
      </c>
      <c r="P16" s="209"/>
      <c r="Q16" s="210" t="str">
        <f>IFERROR(VLOOKUP(Tabela1[[#This Row],[Classificação do Risco Inerente]]&amp;Tabela1[[#This Row],[Avaliação Preliminar do Controle (Teste de Desenho)]],Tabelas!$X$4:$AA$28,4,0),"")</f>
        <v/>
      </c>
      <c r="R16" s="210" t="str">
        <f>IFERROR(VLOOKUP(Tabela1[[#This Row],[Classificação do Risco Inerente]]&amp;Tabela1[[#This Row],[Avaliação Preliminar do Controle (Teste de Desenho)]],Tabelas!$X$4:$AB$28,5,0),"")</f>
        <v/>
      </c>
      <c r="S16" s="208"/>
      <c r="T16" s="211"/>
      <c r="U16" s="173"/>
      <c r="V16" s="175"/>
      <c r="W16" s="173"/>
    </row>
    <row r="17" spans="2:23" ht="106.05" customHeight="1">
      <c r="B17" s="204">
        <f>'Identificação e Análise'!B27</f>
        <v>0</v>
      </c>
      <c r="C17" s="153" t="s">
        <v>102</v>
      </c>
      <c r="D17" s="152" t="str">
        <f>'Identificação e Análise'!C27</f>
        <v>R6 -</v>
      </c>
      <c r="E17" s="136"/>
      <c r="F17" s="118" t="e">
        <f>VLOOKUP(Tabela1[[#This Row],[Probabilidade]],Tabelas!$B$4:$D$8,3,0)</f>
        <v>#N/A</v>
      </c>
      <c r="G17" s="118"/>
      <c r="H17" s="118" t="e">
        <f>VLOOKUP(Tabela1[[#This Row],[Impacto]],Tabelas!$F$4:$H$8,3,0)</f>
        <v>#N/A</v>
      </c>
      <c r="I17" s="196" t="str">
        <f t="shared" si="0"/>
        <v xml:space="preserve"> </v>
      </c>
      <c r="J17" s="196" t="str">
        <f>IFERROR(IF(H17*F17=0," ",IF(F17*H17&lt;=5,Tabelas!$J$4,IF(F17*H17&lt;=10,Tabelas!$J$5,IF(F17*H17&lt;=15,Tabelas!$J$6,IF(F17*H17&lt;=20,Tabelas!$J$7,IF(F17*H17=25,Tabelas!$J$8))))))," ")</f>
        <v xml:space="preserve"> </v>
      </c>
      <c r="K17" s="205"/>
      <c r="L17" s="222"/>
      <c r="M17" s="194" t="str">
        <f>IFERROR(VLOOKUP(Tabela1[[#This Row],[Avaliação Preliminar do Controle (Teste de Desenho)]],Tabelas!$N$4:$P$8,3,0),"")</f>
        <v/>
      </c>
      <c r="N17" s="208" t="str">
        <f>IFERROR(VLOOKUP(Tabela1[[#This Row],[Classificação do Risco Inerente]]&amp;Tabela1[[#This Row],[Avaliação Preliminar do Controle (Teste de Desenho)]],Tabelas!$X$4:$Y$28,2,0),"")</f>
        <v/>
      </c>
      <c r="O17" s="211" t="str">
        <f>IFERROR(VLOOKUP(Tabela1[[#This Row],[Classificação do Risco Inerente]]&amp;Tabela1[[#This Row],[Avaliação Preliminar do Controle (Teste de Desenho)]],Tabelas!$X$4:$Z$28,3,0),"")</f>
        <v/>
      </c>
      <c r="P17" s="209"/>
      <c r="Q17" s="210" t="str">
        <f>IFERROR(VLOOKUP(Tabela1[[#This Row],[Classificação do Risco Inerente]]&amp;Tabela1[[#This Row],[Avaliação Preliminar do Controle (Teste de Desenho)]],Tabelas!$X$4:$AA$28,4,0),"")</f>
        <v/>
      </c>
      <c r="R17" s="210" t="str">
        <f>IFERROR(VLOOKUP(Tabela1[[#This Row],[Classificação do Risco Inerente]]&amp;Tabela1[[#This Row],[Avaliação Preliminar do Controle (Teste de Desenho)]],Tabelas!$X$4:$AB$28,5,0),"")</f>
        <v/>
      </c>
      <c r="S17" s="208"/>
      <c r="T17" s="211"/>
      <c r="U17" s="173"/>
      <c r="V17" s="175"/>
      <c r="W17" s="173"/>
    </row>
    <row r="18" spans="2:23" ht="106.05" customHeight="1">
      <c r="B18" s="204">
        <f>'Identificação e Análise'!B30</f>
        <v>0</v>
      </c>
      <c r="C18" s="153" t="s">
        <v>103</v>
      </c>
      <c r="D18" s="152" t="str">
        <f>'Identificação e Análise'!C30</f>
        <v>R7 -</v>
      </c>
      <c r="E18" s="136"/>
      <c r="F18" s="118" t="e">
        <f>VLOOKUP(Tabela1[[#This Row],[Probabilidade]],Tabelas!$B$4:$D$8,3,0)</f>
        <v>#N/A</v>
      </c>
      <c r="G18" s="118"/>
      <c r="H18" s="118" t="e">
        <f>VLOOKUP(Tabela1[[#This Row],[Impacto]],Tabelas!$F$4:$H$8,3,0)</f>
        <v>#N/A</v>
      </c>
      <c r="I18" s="196" t="str">
        <f t="shared" si="0"/>
        <v xml:space="preserve"> </v>
      </c>
      <c r="J18" s="196" t="str">
        <f>IFERROR(IF(H18*F18=0," ",IF(F18*H18&lt;=5,Tabelas!$J$4,IF(F18*H18&lt;=10,Tabelas!$J$5,IF(F18*H18&lt;=15,Tabelas!$J$6,IF(F18*H18&lt;=20,Tabelas!$J$7,IF(F18*H18=25,Tabelas!$J$8))))))," ")</f>
        <v xml:space="preserve"> </v>
      </c>
      <c r="K18" s="205"/>
      <c r="L18" s="222"/>
      <c r="M18" s="194" t="str">
        <f>IFERROR(VLOOKUP(Tabela1[[#This Row],[Avaliação Preliminar do Controle (Teste de Desenho)]],Tabelas!$N$4:$P$8,3,0),"")</f>
        <v/>
      </c>
      <c r="N18" s="208" t="str">
        <f>IFERROR(VLOOKUP(Tabela1[[#This Row],[Classificação do Risco Inerente]]&amp;Tabela1[[#This Row],[Avaliação Preliminar do Controle (Teste de Desenho)]],Tabelas!$X$4:$Y$28,2,0),"")</f>
        <v/>
      </c>
      <c r="O18" s="211" t="str">
        <f>IFERROR(VLOOKUP(Tabela1[[#This Row],[Classificação do Risco Inerente]]&amp;Tabela1[[#This Row],[Avaliação Preliminar do Controle (Teste de Desenho)]],Tabelas!$X$4:$Z$28,3,0),"")</f>
        <v/>
      </c>
      <c r="P18" s="209"/>
      <c r="Q18" s="210" t="str">
        <f>IFERROR(VLOOKUP(Tabela1[[#This Row],[Classificação do Risco Inerente]]&amp;Tabela1[[#This Row],[Avaliação Preliminar do Controle (Teste de Desenho)]],Tabelas!$X$4:$AA$28,4,0),"")</f>
        <v/>
      </c>
      <c r="R18" s="210" t="str">
        <f>IFERROR(VLOOKUP(Tabela1[[#This Row],[Classificação do Risco Inerente]]&amp;Tabela1[[#This Row],[Avaliação Preliminar do Controle (Teste de Desenho)]],Tabelas!$X$4:$AB$28,5,0),"")</f>
        <v/>
      </c>
      <c r="S18" s="208"/>
      <c r="T18" s="211"/>
      <c r="U18" s="173"/>
      <c r="V18" s="175"/>
      <c r="W18" s="173"/>
    </row>
    <row r="19" spans="2:23" ht="106.05" customHeight="1">
      <c r="B19" s="204">
        <f>'Identificação e Análise'!B33</f>
        <v>0</v>
      </c>
      <c r="C19" s="153" t="s">
        <v>104</v>
      </c>
      <c r="D19" s="152" t="str">
        <f>'Identificação e Análise'!C33</f>
        <v>R8 -</v>
      </c>
      <c r="E19" s="136"/>
      <c r="F19" s="118" t="e">
        <f>VLOOKUP(Tabela1[[#This Row],[Probabilidade]],Tabelas!$B$4:$D$8,3,0)</f>
        <v>#N/A</v>
      </c>
      <c r="G19" s="118"/>
      <c r="H19" s="118" t="e">
        <f>VLOOKUP(Tabela1[[#This Row],[Impacto]],Tabelas!$F$4:$H$8,3,0)</f>
        <v>#N/A</v>
      </c>
      <c r="I19" s="196" t="str">
        <f t="shared" si="0"/>
        <v xml:space="preserve"> </v>
      </c>
      <c r="J19" s="196" t="str">
        <f>IFERROR(IF(H19*F19=0," ",IF(F19*H19&lt;=5,Tabelas!$J$4,IF(F19*H19&lt;=10,Tabelas!$J$5,IF(F19*H19&lt;=15,Tabelas!$J$6,IF(F19*H19&lt;=20,Tabelas!$J$7,IF(F19*H19=25,Tabelas!$J$8))))))," ")</f>
        <v xml:space="preserve"> </v>
      </c>
      <c r="K19" s="205"/>
      <c r="L19" s="222"/>
      <c r="M19" s="194" t="str">
        <f>IFERROR(VLOOKUP(Tabela1[[#This Row],[Avaliação Preliminar do Controle (Teste de Desenho)]],Tabelas!$N$4:$P$8,3,0),"")</f>
        <v/>
      </c>
      <c r="N19" s="208" t="str">
        <f>IFERROR(VLOOKUP(Tabela1[[#This Row],[Classificação do Risco Inerente]]&amp;Tabela1[[#This Row],[Avaliação Preliminar do Controle (Teste de Desenho)]],Tabelas!$X$4:$Y$28,2,0),"")</f>
        <v/>
      </c>
      <c r="O19" s="211" t="str">
        <f>IFERROR(VLOOKUP(Tabela1[[#This Row],[Classificação do Risco Inerente]]&amp;Tabela1[[#This Row],[Avaliação Preliminar do Controle (Teste de Desenho)]],Tabelas!$X$4:$Z$28,3,0),"")</f>
        <v/>
      </c>
      <c r="P19" s="209"/>
      <c r="Q19" s="210" t="str">
        <f>IFERROR(VLOOKUP(Tabela1[[#This Row],[Classificação do Risco Inerente]]&amp;Tabela1[[#This Row],[Avaliação Preliminar do Controle (Teste de Desenho)]],Tabelas!$X$4:$AA$28,4,0),"")</f>
        <v/>
      </c>
      <c r="R19" s="210" t="str">
        <f>IFERROR(VLOOKUP(Tabela1[[#This Row],[Classificação do Risco Inerente]]&amp;Tabela1[[#This Row],[Avaliação Preliminar do Controle (Teste de Desenho)]],Tabelas!$X$4:$AB$28,5,0),"")</f>
        <v/>
      </c>
      <c r="S19" s="208"/>
      <c r="T19" s="211"/>
      <c r="U19" s="173"/>
      <c r="V19" s="175"/>
      <c r="W19" s="173"/>
    </row>
    <row r="20" spans="2:23" ht="106.05" customHeight="1">
      <c r="B20" s="204">
        <f>'Identificação e Análise'!B36</f>
        <v>0</v>
      </c>
      <c r="C20" s="153" t="s">
        <v>105</v>
      </c>
      <c r="D20" s="152" t="str">
        <f>'Identificação e Análise'!C36</f>
        <v>R9 -</v>
      </c>
      <c r="E20" s="136"/>
      <c r="F20" s="118" t="e">
        <f>VLOOKUP(Tabela1[[#This Row],[Probabilidade]],Tabelas!$B$4:$D$8,3,0)</f>
        <v>#N/A</v>
      </c>
      <c r="G20" s="118"/>
      <c r="H20" s="118" t="e">
        <f>VLOOKUP(Tabela1[[#This Row],[Impacto]],Tabelas!$F$4:$H$8,3,0)</f>
        <v>#N/A</v>
      </c>
      <c r="I20" s="196" t="str">
        <f t="shared" si="0"/>
        <v xml:space="preserve"> </v>
      </c>
      <c r="J20" s="196" t="str">
        <f>IFERROR(IF(H20*F20=0," ",IF(F20*H20&lt;=5,Tabelas!$J$4,IF(F20*H20&lt;=10,Tabelas!$J$5,IF(F20*H20&lt;=15,Tabelas!$J$6,IF(F20*H20&lt;=20,Tabelas!$J$7,IF(F20*H20=25,Tabelas!$J$8))))))," ")</f>
        <v xml:space="preserve"> </v>
      </c>
      <c r="K20" s="205"/>
      <c r="L20" s="222"/>
      <c r="M20" s="194" t="str">
        <f>IFERROR(VLOOKUP(Tabela1[[#This Row],[Avaliação Preliminar do Controle (Teste de Desenho)]],Tabelas!$N$4:$P$8,3,0),"")</f>
        <v/>
      </c>
      <c r="N20" s="208" t="str">
        <f>IFERROR(VLOOKUP(Tabela1[[#This Row],[Classificação do Risco Inerente]]&amp;Tabela1[[#This Row],[Avaliação Preliminar do Controle (Teste de Desenho)]],Tabelas!$X$4:$Y$28,2,0),"")</f>
        <v/>
      </c>
      <c r="O20" s="211" t="str">
        <f>IFERROR(VLOOKUP(Tabela1[[#This Row],[Classificação do Risco Inerente]]&amp;Tabela1[[#This Row],[Avaliação Preliminar do Controle (Teste de Desenho)]],Tabelas!$X$4:$Z$28,3,0),"")</f>
        <v/>
      </c>
      <c r="P20" s="209"/>
      <c r="Q20" s="210" t="str">
        <f>IFERROR(VLOOKUP(Tabela1[[#This Row],[Classificação do Risco Inerente]]&amp;Tabela1[[#This Row],[Avaliação Preliminar do Controle (Teste de Desenho)]],Tabelas!$X$4:$AA$28,4,0),"")</f>
        <v/>
      </c>
      <c r="R20" s="210" t="str">
        <f>IFERROR(VLOOKUP(Tabela1[[#This Row],[Classificação do Risco Inerente]]&amp;Tabela1[[#This Row],[Avaliação Preliminar do Controle (Teste de Desenho)]],Tabelas!$X$4:$AB$28,5,0),"")</f>
        <v/>
      </c>
      <c r="S20" s="208"/>
      <c r="T20" s="211"/>
      <c r="U20" s="173"/>
      <c r="V20" s="175"/>
      <c r="W20" s="173"/>
    </row>
    <row r="21" spans="2:23" ht="16.8">
      <c r="B21" s="176"/>
      <c r="C21" s="176"/>
      <c r="D21" s="176"/>
      <c r="E21" s="173"/>
      <c r="F21" s="172"/>
      <c r="G21" s="172"/>
      <c r="H21" s="173"/>
      <c r="I21" s="171"/>
      <c r="J21" s="173"/>
      <c r="K21" s="171"/>
      <c r="L21" s="171"/>
      <c r="M21" s="173"/>
      <c r="N21" s="173"/>
      <c r="O21" s="171"/>
      <c r="P21" s="173"/>
      <c r="Q21" s="171"/>
      <c r="R21" s="173"/>
      <c r="S21" s="173"/>
      <c r="T21" s="173"/>
      <c r="U21" s="173"/>
      <c r="V21" s="173"/>
      <c r="W21" s="173"/>
    </row>
    <row r="22" spans="2:23">
      <c r="G22" s="174" t="s">
        <v>106</v>
      </c>
      <c r="M22" s="175"/>
    </row>
    <row r="23" spans="2:23">
      <c r="M23" s="175"/>
    </row>
    <row r="24" spans="2:23" ht="15" thickBot="1">
      <c r="M24" s="175"/>
    </row>
    <row r="25" spans="2:23" ht="15.6">
      <c r="J25" s="224" t="s">
        <v>362</v>
      </c>
      <c r="M25" s="175"/>
    </row>
    <row r="26" spans="2:23" ht="20.399999999999999">
      <c r="J26" s="230" t="s">
        <v>361</v>
      </c>
      <c r="K26" s="243"/>
      <c r="L26" s="243"/>
      <c r="M26" s="243"/>
      <c r="N26" s="243"/>
    </row>
    <row r="27" spans="2:23" ht="20.399999999999999">
      <c r="H27" s="177"/>
      <c r="I27" s="177"/>
      <c r="J27" s="231" t="s">
        <v>360</v>
      </c>
      <c r="K27" s="245"/>
      <c r="L27" s="245"/>
      <c r="M27" s="245"/>
      <c r="N27" s="245"/>
      <c r="S27" s="180"/>
      <c r="T27" s="180"/>
    </row>
    <row r="28" spans="2:23" ht="20.399999999999999">
      <c r="J28" s="232" t="s">
        <v>359</v>
      </c>
      <c r="K28" s="247"/>
      <c r="L28" s="244"/>
      <c r="M28" s="248"/>
      <c r="N28" s="248"/>
    </row>
    <row r="29" spans="2:23" ht="21" thickBot="1">
      <c r="J29" s="233" t="s">
        <v>358</v>
      </c>
      <c r="K29" s="247"/>
      <c r="L29" s="244"/>
      <c r="M29" s="248"/>
      <c r="N29" s="248"/>
    </row>
    <row r="30" spans="2:23" ht="20.399999999999999">
      <c r="J30" s="246"/>
      <c r="K30" s="247"/>
      <c r="L30" s="244"/>
      <c r="M30" s="248"/>
      <c r="N30" s="248"/>
    </row>
    <row r="31" spans="2:23" ht="20.399999999999999">
      <c r="J31" s="246"/>
      <c r="K31" s="247"/>
      <c r="L31" s="244"/>
      <c r="M31" s="248"/>
      <c r="N31" s="248"/>
    </row>
    <row r="32" spans="2:23" ht="20.399999999999999">
      <c r="J32" s="246"/>
      <c r="K32" s="247"/>
      <c r="L32" s="244"/>
      <c r="M32" s="248"/>
      <c r="N32" s="248"/>
    </row>
    <row r="33" spans="10:14" ht="20.399999999999999">
      <c r="J33" s="246"/>
      <c r="K33" s="247"/>
      <c r="L33" s="244"/>
      <c r="M33" s="248"/>
      <c r="N33" s="248"/>
    </row>
    <row r="34" spans="10:14" ht="20.399999999999999">
      <c r="J34" s="246"/>
      <c r="K34" s="247"/>
      <c r="L34" s="244"/>
      <c r="M34" s="248"/>
      <c r="N34" s="248"/>
    </row>
    <row r="35" spans="10:14" ht="20.399999999999999">
      <c r="J35" s="246"/>
      <c r="K35" s="247"/>
      <c r="L35" s="244"/>
      <c r="M35" s="248"/>
      <c r="N35" s="248"/>
    </row>
    <row r="36" spans="10:14" ht="20.399999999999999">
      <c r="J36" s="246"/>
      <c r="K36" s="247"/>
      <c r="L36" s="244"/>
      <c r="M36" s="248"/>
      <c r="N36" s="248"/>
    </row>
    <row r="37" spans="10:14"/>
    <row r="38" spans="10:14"/>
    <row r="39" spans="10:14"/>
    <row r="40" spans="10:14"/>
    <row r="41" spans="10:14"/>
    <row r="42" spans="10:14"/>
    <row r="43" spans="10:14"/>
    <row r="44" spans="10:14"/>
    <row r="45" spans="10:14"/>
    <row r="46" spans="10:14"/>
    <row r="47" spans="10:14"/>
    <row r="48" spans="10:14"/>
    <row r="49" spans="2:23"/>
    <row r="50" spans="2:23" s="225" customFormat="1" ht="33.6" customHeight="1">
      <c r="B50" s="223"/>
      <c r="C50" s="223"/>
      <c r="F50" s="226"/>
      <c r="G50" s="226"/>
      <c r="I50" s="227"/>
      <c r="K50" s="227"/>
      <c r="L50" s="227"/>
      <c r="M50" s="228"/>
      <c r="N50" s="228"/>
      <c r="O50" s="254"/>
      <c r="P50" s="228"/>
      <c r="Q50" s="254"/>
      <c r="R50" s="228"/>
      <c r="S50" s="228"/>
      <c r="T50" s="229"/>
      <c r="U50" s="229"/>
      <c r="V50" s="229"/>
      <c r="W50" s="229"/>
    </row>
    <row r="51" spans="2:23" s="225" customFormat="1" ht="33.6" customHeight="1">
      <c r="B51" s="223"/>
      <c r="C51" s="223"/>
      <c r="F51" s="226"/>
      <c r="G51" s="226"/>
      <c r="I51" s="227"/>
      <c r="K51" s="227"/>
      <c r="L51" s="227"/>
      <c r="M51" s="228"/>
      <c r="N51" s="228"/>
      <c r="O51" s="254"/>
      <c r="P51" s="228"/>
      <c r="Q51" s="254"/>
      <c r="R51" s="228"/>
      <c r="S51" s="228"/>
      <c r="T51" s="229"/>
      <c r="U51" s="229"/>
      <c r="V51" s="229"/>
      <c r="W51" s="229"/>
    </row>
    <row r="52" spans="2:23" s="225" customFormat="1" ht="33.6" customHeight="1">
      <c r="B52" s="223"/>
      <c r="C52" s="223"/>
      <c r="F52" s="226"/>
      <c r="G52" s="226"/>
      <c r="I52" s="227"/>
      <c r="K52" s="227"/>
      <c r="L52" s="227"/>
      <c r="M52" s="228"/>
      <c r="N52" s="228"/>
      <c r="O52" s="254"/>
      <c r="P52" s="228"/>
      <c r="Q52" s="254"/>
      <c r="R52" s="228"/>
      <c r="S52" s="228"/>
      <c r="T52" s="229"/>
      <c r="U52" s="229"/>
      <c r="V52" s="229"/>
      <c r="W52" s="229"/>
    </row>
    <row r="53" spans="2:23" s="225" customFormat="1" ht="33.6" hidden="1" customHeight="1">
      <c r="B53" s="223"/>
      <c r="C53" s="223"/>
      <c r="F53" s="226"/>
      <c r="G53" s="226"/>
      <c r="I53" s="227"/>
      <c r="K53" s="227"/>
      <c r="L53" s="227"/>
      <c r="M53" s="228"/>
      <c r="N53" s="228"/>
      <c r="O53" s="254"/>
      <c r="P53" s="228"/>
      <c r="Q53" s="254"/>
      <c r="R53" s="228"/>
      <c r="S53" s="228"/>
      <c r="T53" s="229"/>
      <c r="U53" s="229"/>
      <c r="V53" s="229"/>
      <c r="W53" s="229"/>
    </row>
    <row r="54" spans="2:23" s="225" customFormat="1" ht="33.6" hidden="1" customHeight="1">
      <c r="B54" s="223"/>
      <c r="C54" s="223"/>
      <c r="F54" s="226"/>
      <c r="G54" s="226"/>
      <c r="I54" s="227"/>
      <c r="K54" s="227"/>
      <c r="L54" s="227"/>
      <c r="M54" s="228"/>
      <c r="N54" s="228"/>
      <c r="O54" s="254"/>
      <c r="P54" s="228"/>
      <c r="Q54" s="254"/>
      <c r="R54" s="228"/>
      <c r="S54" s="228"/>
      <c r="T54" s="229"/>
      <c r="U54" s="229"/>
      <c r="V54" s="229"/>
      <c r="W54" s="229"/>
    </row>
  </sheetData>
  <sheetProtection formatColumns="0" formatRows="0" insertRows="0" insertHyperlinks="0" deleteRows="0" sort="0" autoFilter="0"/>
  <sortState xmlns:xlrd2="http://schemas.microsoft.com/office/spreadsheetml/2017/richdata2" ref="N27:T36">
    <sortCondition sortBy="fontColor" ref="N27:N36" dxfId="129"/>
  </sortState>
  <mergeCells count="7">
    <mergeCell ref="B1:T6"/>
    <mergeCell ref="C7:K7"/>
    <mergeCell ref="C8:K8"/>
    <mergeCell ref="B10:D10"/>
    <mergeCell ref="E10:J10"/>
    <mergeCell ref="K10:M10"/>
    <mergeCell ref="N10:T10"/>
  </mergeCells>
  <phoneticPr fontId="29" type="noConversion"/>
  <conditionalFormatting sqref="J12:M20 Q12:R20">
    <cfRule type="containsText" dxfId="36" priority="35" operator="containsText" text="Moderado">
      <formula>NOT(ISERROR(SEARCH("Moderado",J12)))</formula>
    </cfRule>
    <cfRule type="containsText" dxfId="35" priority="36" operator="containsText" text="Alto">
      <formula>NOT(ISERROR(SEARCH("Alto",J12)))</formula>
    </cfRule>
    <cfRule type="containsText" dxfId="34" priority="37" operator="containsText" text="Crítico">
      <formula>NOT(ISERROR(SEARCH("Crítico",J12)))</formula>
    </cfRule>
    <cfRule type="containsText" dxfId="33" priority="38" operator="containsText" text="Irrelevante">
      <formula>NOT(ISERROR(SEARCH("Irrelevante",J12)))</formula>
    </cfRule>
  </conditionalFormatting>
  <conditionalFormatting sqref="M28:N36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Q12:R20 J12:M20">
    <cfRule type="containsText" dxfId="22" priority="34" operator="containsText" text="Baixo">
      <formula>NOT(ISERROR(SEARCH("Baixo",J12)))</formula>
    </cfRule>
  </conditionalFormatting>
  <conditionalFormatting sqref="S28:T36 L28:L36">
    <cfRule type="iconSet" priority="39">
      <iconSet iconSet="3Symbols">
        <cfvo type="percent" val="0"/>
        <cfvo type="percent" val="33"/>
        <cfvo type="percent" val="67"/>
      </iconSet>
    </cfRule>
  </conditionalFormatting>
  <conditionalFormatting sqref="T28:T36">
    <cfRule type="iconSet" priority="5">
      <iconSet iconSet="3Symbols2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S12:S20" xr:uid="{BD8F029C-2EFA-4A45-AB3A-B4FA8C1614F5}">
      <formula1>$AA$12:$AA$13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A756A6DD-BFD4-4720-B47D-0DBE2757F75B}">
            <xm:f>Tabelas!$J$6</xm:f>
            <x14:dxf>
              <fill>
                <patternFill>
                  <bgColor rgb="FFFFFF00"/>
                </patternFill>
              </fill>
            </x14:dxf>
          </x14:cfRule>
          <x14:cfRule type="cellIs" priority="19" operator="equal" id="{726EF476-D8FB-450B-9412-7E2CF80E2933}">
            <xm:f>Tabelas!$J$8</xm:f>
            <x14:dxf>
              <fill>
                <patternFill>
                  <bgColor rgb="FFC00000"/>
                </patternFill>
              </fill>
            </x14:dxf>
          </x14:cfRule>
          <x14:cfRule type="cellIs" priority="20" operator="equal" id="{CB455779-2862-4356-9CB9-10880CAE85B4}">
            <xm:f>Tabelas!$J$6</xm:f>
            <x14:dxf>
              <fill>
                <patternFill>
                  <bgColor rgb="FFFFC000"/>
                </patternFill>
              </fill>
            </x14:dxf>
          </x14:cfRule>
          <x14:cfRule type="cellIs" priority="21" operator="equal" id="{C25AAA3D-AA1D-4217-A302-E825AD1D9949}">
            <xm:f>Tabelas!$J$5</xm:f>
            <x14:dxf>
              <fill>
                <patternFill>
                  <bgColor rgb="FF92D050"/>
                </patternFill>
              </fill>
            </x14:dxf>
          </x14:cfRule>
          <x14:cfRule type="cellIs" priority="22" operator="equal" id="{34E7B65F-A342-4713-B717-458506A2C105}">
            <xm:f>Tabelas!$J$4</xm:f>
            <x14:dxf>
              <fill>
                <patternFill>
                  <bgColor rgb="FF00B050"/>
                </patternFill>
              </fill>
            </x14:dxf>
          </x14:cfRule>
          <xm:sqref>J12:J20</xm:sqref>
        </x14:conditionalFormatting>
        <x14:conditionalFormatting xmlns:xm="http://schemas.microsoft.com/office/excel/2006/main">
          <x14:cfRule type="cellIs" priority="9" operator="equal" id="{5C3436CA-F6B7-4F1E-BFF2-475FCBBB0291}">
            <xm:f>Tabelas!$N$8</xm:f>
            <x14:dxf>
              <fill>
                <patternFill>
                  <bgColor rgb="FFC00000"/>
                </patternFill>
              </fill>
            </x14:dxf>
          </x14:cfRule>
          <x14:cfRule type="cellIs" priority="10" operator="equal" id="{2A5BA306-6CF1-4E61-970A-71125D1917D8}">
            <xm:f>Tabelas!$N$7</xm:f>
            <x14:dxf>
              <fill>
                <patternFill>
                  <bgColor rgb="FFFFC000"/>
                </patternFill>
              </fill>
            </x14:dxf>
          </x14:cfRule>
          <x14:cfRule type="cellIs" priority="11" operator="equal" id="{275246C4-5100-4857-800B-8AFBF44516CA}">
            <xm:f>Tabelas!$N$6</xm:f>
            <x14:dxf>
              <fill>
                <patternFill>
                  <bgColor rgb="FFFFFF00"/>
                </patternFill>
              </fill>
            </x14:dxf>
          </x14:cfRule>
          <x14:cfRule type="cellIs" priority="12" operator="equal" id="{F6C05855-3A78-47FC-B133-232225E10765}">
            <xm:f>Tabelas!$N$5</xm:f>
            <x14:dxf>
              <fill>
                <patternFill>
                  <bgColor rgb="FF92D050"/>
                </patternFill>
              </fill>
            </x14:dxf>
          </x14:cfRule>
          <x14:cfRule type="cellIs" priority="13" operator="equal" id="{02185812-BF16-4FA6-81F6-C1E83704F242}">
            <xm:f>Tabelas!$N$4</xm:f>
            <x14:dxf>
              <fill>
                <patternFill>
                  <bgColor rgb="FF00B050"/>
                </patternFill>
              </fill>
            </x14:dxf>
          </x14:cfRule>
          <x14:cfRule type="cellIs" priority="14" operator="equal" id="{30E1547C-3B0D-43CD-8244-EA3736589CEC}">
            <xm:f>Tabelas!$N$8</xm:f>
            <x14:dxf>
              <fill>
                <patternFill>
                  <bgColor rgb="FF00B050"/>
                </patternFill>
              </fill>
            </x14:dxf>
          </x14:cfRule>
          <x14:cfRule type="cellIs" priority="15" operator="equal" id="{C435E881-3AD2-4A25-A43B-749DD01EAEE1}">
            <xm:f>Tabelas!$N$7</xm:f>
            <x14:dxf>
              <fill>
                <patternFill>
                  <bgColor rgb="FF92D050"/>
                </patternFill>
              </fill>
            </x14:dxf>
          </x14:cfRule>
          <x14:cfRule type="cellIs" priority="16" operator="equal" id="{3D9153EA-5791-4037-89AC-734DF23ADFAF}">
            <xm:f>Tabelas!$N$6</xm:f>
            <x14:dxf>
              <fill>
                <patternFill>
                  <bgColor rgb="FFFFFF00"/>
                </patternFill>
              </fill>
            </x14:dxf>
          </x14:cfRule>
          <x14:cfRule type="cellIs" priority="17" operator="equal" id="{DE995BB5-495C-48A6-81D3-8BA74B83F034}">
            <xm:f>Tabelas!$N$5</xm:f>
            <x14:dxf>
              <fill>
                <patternFill>
                  <bgColor rgb="FFFFC000"/>
                </patternFill>
              </fill>
            </x14:dxf>
          </x14:cfRule>
          <x14:cfRule type="cellIs" priority="18" operator="equal" id="{3B3E564D-53AD-4E55-B016-576CBDA22CA0}">
            <xm:f>Tabelas!$N$4</xm:f>
            <x14:dxf>
              <fill>
                <patternFill>
                  <bgColor rgb="FFC00000"/>
                </patternFill>
              </fill>
            </x14:dxf>
          </x14:cfRule>
          <xm:sqref>L12:L20</xm:sqref>
        </x14:conditionalFormatting>
        <x14:conditionalFormatting xmlns:xm="http://schemas.microsoft.com/office/excel/2006/main">
          <x14:cfRule type="cellIs" priority="3" operator="equal" id="{3D9AABAB-466A-4DBB-B405-E9F344AC6203}">
            <xm:f>Tabelas!$AB$25</xm:f>
            <x14:dxf>
              <fill>
                <patternFill>
                  <bgColor rgb="FFC00000"/>
                </patternFill>
              </fill>
            </x14:dxf>
          </x14:cfRule>
          <x14:cfRule type="cellIs" priority="4" operator="equal" id="{A0CC2507-408F-49C8-B834-BFC0AAFAABDC}">
            <xm:f>Tabelas!$AB$25</xm:f>
            <x14:dxf>
              <fill>
                <patternFill>
                  <bgColor rgb="FFFFC000"/>
                </patternFill>
              </fill>
            </x14:dxf>
          </x14:cfRule>
          <x14:cfRule type="cellIs" priority="23" operator="equal" id="{FC19A10C-7F6E-4EE1-A1DA-16DCB80D9E03}">
            <xm:f>Tabelas!$AB$19</xm:f>
            <x14:dxf>
              <fill>
                <patternFill>
                  <bgColor rgb="FFC00000"/>
                </patternFill>
              </fill>
            </x14:dxf>
          </x14:cfRule>
          <x14:cfRule type="cellIs" priority="24" operator="equal" id="{6B6A82D3-ADC7-4BD3-A4B0-5B254DBDA401}">
            <xm:f>Tabelas!$AB$20</xm:f>
            <x14:dxf>
              <fill>
                <patternFill>
                  <bgColor rgb="FFFFC000"/>
                </patternFill>
              </fill>
            </x14:dxf>
          </x14:cfRule>
          <x14:cfRule type="cellIs" priority="25" operator="equal" id="{26664044-E312-4BCA-98B6-C454454BDCF7}">
            <xm:f>Tabelas!$AB$15</xm:f>
            <x14:dxf>
              <fill>
                <patternFill>
                  <bgColor rgb="FFFFFF00"/>
                </patternFill>
              </fill>
            </x14:dxf>
          </x14:cfRule>
          <x14:cfRule type="cellIs" priority="26" operator="equal" id="{66E892C3-E9DC-4F80-897B-49422E747DFE}">
            <xm:f>Tabelas!$AB$17</xm:f>
            <x14:dxf>
              <fill>
                <patternFill>
                  <bgColor rgb="FF92D050"/>
                </patternFill>
              </fill>
            </x14:dxf>
          </x14:cfRule>
          <x14:cfRule type="cellIs" priority="27" operator="equal" id="{52BB67A8-D6F4-4998-9654-23AA8BB74C44}">
            <xm:f>Tabelas!$AB$9</xm:f>
            <x14:dxf>
              <fill>
                <patternFill>
                  <bgColor rgb="FF00B050"/>
                </patternFill>
              </fill>
            </x14:dxf>
          </x14:cfRule>
          <x14:cfRule type="cellIs" priority="28" operator="equal" id="{6F43E3D6-38FC-49C6-97E1-B4B0E0D64908}">
            <xm:f>Tabelas!$AB$6</xm:f>
            <x14:dxf>
              <fill>
                <patternFill>
                  <bgColor rgb="FF00B0F0"/>
                </patternFill>
              </fill>
            </x14:dxf>
          </x14:cfRule>
          <xm:sqref>R12:R20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7E7F754-4189-482B-A59A-E4A9D732D8F9}">
          <x14:formula1>
            <xm:f>Tabelas!$B$4:$B$8</xm:f>
          </x14:formula1>
          <xm:sqref>E12:E20</xm:sqref>
        </x14:dataValidation>
        <x14:dataValidation type="list" allowBlank="1" showInputMessage="1" showErrorMessage="1" xr:uid="{2D9B34C7-C26F-4A2E-A807-2C2FEF6AAE99}">
          <x14:formula1>
            <xm:f>Tabelas!$F$4:$F$8</xm:f>
          </x14:formula1>
          <xm:sqref>G12:G20</xm:sqref>
        </x14:dataValidation>
        <x14:dataValidation type="list" allowBlank="1" showInputMessage="1" showErrorMessage="1" xr:uid="{6145335F-8F4D-4505-8B50-2AEE7931B282}">
          <x14:formula1>
            <xm:f>Tabelas!$N$4:$N$8</xm:f>
          </x14:formula1>
          <xm:sqref>L12:L20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11EDB-2591-4738-9863-411764E38C78}">
  <sheetPr codeName="Planilha6"/>
  <dimension ref="A3:H10"/>
  <sheetViews>
    <sheetView workbookViewId="0">
      <selection activeCell="J8" sqref="J8"/>
    </sheetView>
  </sheetViews>
  <sheetFormatPr defaultRowHeight="14.4"/>
  <sheetData>
    <row r="3" spans="1:8" ht="34.200000000000003">
      <c r="A3" s="366" t="s">
        <v>107</v>
      </c>
      <c r="B3" s="119" t="s">
        <v>108</v>
      </c>
      <c r="C3" s="119">
        <v>10</v>
      </c>
      <c r="D3" s="120">
        <f>$C3*D8</f>
        <v>10</v>
      </c>
      <c r="E3" s="120">
        <f t="shared" ref="E3:H3" si="0">$C3*E8</f>
        <v>30</v>
      </c>
      <c r="F3" s="120">
        <f t="shared" si="0"/>
        <v>50</v>
      </c>
      <c r="G3" s="120">
        <f t="shared" si="0"/>
        <v>80</v>
      </c>
      <c r="H3" s="121">
        <f t="shared" si="0"/>
        <v>100</v>
      </c>
    </row>
    <row r="4" spans="1:8" ht="23.4">
      <c r="A4" s="367"/>
      <c r="B4" s="122" t="s">
        <v>109</v>
      </c>
      <c r="C4" s="122">
        <v>8</v>
      </c>
      <c r="D4" s="40">
        <f>$C4*D8</f>
        <v>8</v>
      </c>
      <c r="E4" s="40">
        <f t="shared" ref="E4:H4" si="1">$C4*E8</f>
        <v>24</v>
      </c>
      <c r="F4" s="40">
        <f t="shared" si="1"/>
        <v>40</v>
      </c>
      <c r="G4" s="40">
        <f t="shared" si="1"/>
        <v>64</v>
      </c>
      <c r="H4" s="123">
        <f t="shared" si="1"/>
        <v>80</v>
      </c>
    </row>
    <row r="5" spans="1:8" ht="51.6">
      <c r="A5" s="367"/>
      <c r="B5" s="122" t="s">
        <v>110</v>
      </c>
      <c r="C5" s="122">
        <v>5</v>
      </c>
      <c r="D5" s="40">
        <f>$C$4*D8</f>
        <v>8</v>
      </c>
      <c r="E5" s="40">
        <f t="shared" ref="E5:H5" si="2">$C$4*E8</f>
        <v>24</v>
      </c>
      <c r="F5" s="40">
        <f t="shared" si="2"/>
        <v>40</v>
      </c>
      <c r="G5" s="40">
        <f t="shared" si="2"/>
        <v>64</v>
      </c>
      <c r="H5" s="123">
        <f t="shared" si="2"/>
        <v>80</v>
      </c>
    </row>
    <row r="6" spans="1:8" ht="30">
      <c r="A6" s="367"/>
      <c r="B6" s="122" t="s">
        <v>111</v>
      </c>
      <c r="C6" s="122">
        <v>3</v>
      </c>
      <c r="D6" s="40">
        <f>$C$5*D8</f>
        <v>5</v>
      </c>
      <c r="E6" s="40">
        <f t="shared" ref="E6:H6" si="3">$C$5*E8</f>
        <v>15</v>
      </c>
      <c r="F6" s="40">
        <f t="shared" si="3"/>
        <v>25</v>
      </c>
      <c r="G6" s="40">
        <f t="shared" si="3"/>
        <v>40</v>
      </c>
      <c r="H6" s="123">
        <f t="shared" si="3"/>
        <v>50</v>
      </c>
    </row>
    <row r="7" spans="1:8" ht="53.4">
      <c r="A7" s="367"/>
      <c r="B7" s="122" t="s">
        <v>112</v>
      </c>
      <c r="C7" s="122">
        <v>1</v>
      </c>
      <c r="D7" s="40">
        <f>$C$6*D8</f>
        <v>3</v>
      </c>
      <c r="E7" s="40">
        <f t="shared" ref="E7:H7" si="4">$C$6*E8</f>
        <v>9</v>
      </c>
      <c r="F7" s="40">
        <f t="shared" si="4"/>
        <v>15</v>
      </c>
      <c r="G7" s="40">
        <f t="shared" si="4"/>
        <v>24</v>
      </c>
      <c r="H7" s="123">
        <f t="shared" si="4"/>
        <v>30</v>
      </c>
    </row>
    <row r="8" spans="1:8">
      <c r="A8" s="124"/>
      <c r="B8" s="125"/>
      <c r="C8" s="125"/>
      <c r="D8" s="126">
        <v>1</v>
      </c>
      <c r="E8" s="126">
        <v>3</v>
      </c>
      <c r="F8" s="126">
        <v>5</v>
      </c>
      <c r="G8" s="126">
        <v>8</v>
      </c>
      <c r="H8" s="127">
        <v>10</v>
      </c>
    </row>
    <row r="9" spans="1:8">
      <c r="A9" s="124"/>
      <c r="B9" s="125"/>
      <c r="C9" s="125"/>
      <c r="D9" s="126" t="s">
        <v>113</v>
      </c>
      <c r="E9" s="126" t="s">
        <v>114</v>
      </c>
      <c r="F9" s="126" t="s">
        <v>115</v>
      </c>
      <c r="G9" s="126" t="s">
        <v>116</v>
      </c>
      <c r="H9" s="127" t="s">
        <v>117</v>
      </c>
    </row>
    <row r="10" spans="1:8" ht="15" thickBot="1">
      <c r="A10" s="128"/>
      <c r="B10" s="129"/>
      <c r="C10" s="129"/>
      <c r="D10" s="368" t="s">
        <v>118</v>
      </c>
      <c r="E10" s="368"/>
      <c r="F10" s="368"/>
      <c r="G10" s="368"/>
      <c r="H10" s="369"/>
    </row>
  </sheetData>
  <mergeCells count="2">
    <mergeCell ref="A3:A7"/>
    <mergeCell ref="D10:H10"/>
  </mergeCells>
  <conditionalFormatting sqref="D3:H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9C9F-C9B3-4DBA-BE73-2F105A25A66E}">
  <sheetPr codeName="Planilha5"/>
  <dimension ref="B1:Z28"/>
  <sheetViews>
    <sheetView showGridLines="0" showZeros="0" tabSelected="1" topLeftCell="A15" zoomScale="70" zoomScaleNormal="70" workbookViewId="0">
      <selection activeCell="F11" sqref="F11"/>
    </sheetView>
  </sheetViews>
  <sheetFormatPr defaultColWidth="0" defaultRowHeight="14.4" zeroHeight="1"/>
  <cols>
    <col min="1" max="1" width="13.77734375" style="159" customWidth="1"/>
    <col min="2" max="2" width="41.21875" style="159" customWidth="1"/>
    <col min="3" max="3" width="27.77734375" style="188" customWidth="1"/>
    <col min="4" max="4" width="97.5546875" style="188" customWidth="1"/>
    <col min="5" max="5" width="46.5546875" style="188" customWidth="1"/>
    <col min="6" max="7" width="49.77734375" style="188" customWidth="1"/>
    <col min="8" max="8" width="37.5546875" style="188" customWidth="1"/>
    <col min="9" max="9" width="30.77734375" style="159" hidden="1" customWidth="1"/>
    <col min="10" max="10" width="5.77734375" style="159" hidden="1" customWidth="1"/>
    <col min="11" max="11" width="26.77734375" style="159" hidden="1" customWidth="1"/>
    <col min="12" max="12" width="5" style="159" hidden="1" customWidth="1"/>
    <col min="13" max="13" width="8.77734375" style="159" hidden="1" customWidth="1"/>
    <col min="14" max="14" width="26.77734375" style="159" hidden="1" customWidth="1"/>
    <col min="15" max="26" width="5" style="159" hidden="1" customWidth="1"/>
    <col min="27" max="16384" width="0" style="159" hidden="1"/>
  </cols>
  <sheetData>
    <row r="1" spans="2:7" s="189" customFormat="1" ht="46.5" customHeight="1">
      <c r="B1" s="287" t="s">
        <v>119</v>
      </c>
      <c r="C1" s="288"/>
      <c r="D1" s="288"/>
      <c r="E1" s="288"/>
      <c r="F1" s="288"/>
      <c r="G1" s="288"/>
    </row>
    <row r="2" spans="2:7" s="189" customFormat="1" ht="46.5" customHeight="1">
      <c r="B2" s="289"/>
      <c r="C2" s="290"/>
      <c r="D2" s="290"/>
      <c r="E2" s="290"/>
      <c r="F2" s="290"/>
      <c r="G2" s="290"/>
    </row>
    <row r="3" spans="2:7" s="189" customFormat="1" ht="46.5" customHeight="1">
      <c r="B3" s="289"/>
      <c r="C3" s="290"/>
      <c r="D3" s="290"/>
      <c r="E3" s="290"/>
      <c r="F3" s="290"/>
      <c r="G3" s="290"/>
    </row>
    <row r="4" spans="2:7" s="189" customFormat="1" ht="46.5" customHeight="1">
      <c r="B4" s="289"/>
      <c r="C4" s="290"/>
      <c r="D4" s="290"/>
      <c r="E4" s="290"/>
      <c r="F4" s="290"/>
      <c r="G4" s="290"/>
    </row>
    <row r="5" spans="2:7" s="189" customFormat="1" ht="46.5" customHeight="1" thickBot="1">
      <c r="B5" s="181"/>
      <c r="C5" s="190"/>
      <c r="D5" s="190"/>
      <c r="E5" s="190"/>
      <c r="F5" s="190"/>
      <c r="G5" s="181"/>
    </row>
    <row r="6" spans="2:7" s="189" customFormat="1" ht="46.5" customHeight="1">
      <c r="B6" s="256" t="str">
        <f>Entendimento!B5</f>
        <v>Unidade Auditada:</v>
      </c>
      <c r="C6" s="291">
        <f>Entendimento!C5</f>
        <v>0</v>
      </c>
      <c r="D6" s="292"/>
      <c r="E6" s="292"/>
      <c r="F6" s="292"/>
      <c r="G6" s="293"/>
    </row>
    <row r="7" spans="2:7" s="189" customFormat="1" ht="46.5" customHeight="1">
      <c r="B7" s="257" t="str">
        <f>Entendimento!B6</f>
        <v>N° da Base de Auditoria:</v>
      </c>
      <c r="C7" s="294">
        <f>Entendimento!C6</f>
        <v>0</v>
      </c>
      <c r="D7" s="295"/>
      <c r="E7" s="295"/>
      <c r="F7" s="295"/>
      <c r="G7" s="296"/>
    </row>
    <row r="8" spans="2:7" s="189" customFormat="1" ht="46.5" customHeight="1" thickBot="1">
      <c r="B8" s="258" t="s">
        <v>4</v>
      </c>
      <c r="C8" s="284"/>
      <c r="D8" s="285"/>
      <c r="E8" s="286"/>
      <c r="F8" s="259" t="s">
        <v>5</v>
      </c>
      <c r="G8" s="260"/>
    </row>
    <row r="9" spans="2:7" ht="46.5" customHeight="1" thickBot="1">
      <c r="B9" s="236"/>
      <c r="C9" s="237"/>
      <c r="D9" s="237"/>
      <c r="E9" s="237"/>
      <c r="F9" s="236"/>
      <c r="G9" s="238"/>
    </row>
    <row r="10" spans="2:7" ht="98.1" customHeight="1">
      <c r="B10" s="261" t="s">
        <v>15</v>
      </c>
      <c r="C10" s="282"/>
      <c r="D10" s="282"/>
      <c r="E10" s="282"/>
      <c r="F10" s="282"/>
      <c r="G10" s="283"/>
    </row>
    <row r="11" spans="2:7" ht="72.599999999999994" customHeight="1">
      <c r="B11" s="262" t="s">
        <v>18</v>
      </c>
      <c r="C11" s="187" t="s">
        <v>387</v>
      </c>
      <c r="D11" s="187" t="s">
        <v>121</v>
      </c>
      <c r="E11" s="187" t="s">
        <v>122</v>
      </c>
      <c r="F11" s="187" t="s">
        <v>123</v>
      </c>
      <c r="G11" s="168" t="s">
        <v>120</v>
      </c>
    </row>
    <row r="12" spans="2:7" ht="70.05" customHeight="1">
      <c r="B12" s="263"/>
      <c r="C12" s="155" t="s">
        <v>380</v>
      </c>
      <c r="D12" s="206"/>
      <c r="E12" s="206"/>
      <c r="F12" s="206"/>
      <c r="G12" s="264" t="s">
        <v>472</v>
      </c>
    </row>
    <row r="13" spans="2:7" ht="69" customHeight="1">
      <c r="B13" s="263"/>
      <c r="C13" s="155" t="s">
        <v>381</v>
      </c>
      <c r="D13" s="206"/>
      <c r="E13" s="206"/>
      <c r="F13" s="206"/>
      <c r="G13" s="264" t="s">
        <v>474</v>
      </c>
    </row>
    <row r="14" spans="2:7" ht="72.599999999999994" customHeight="1">
      <c r="B14" s="263"/>
      <c r="C14" s="155" t="s">
        <v>382</v>
      </c>
      <c r="D14" s="206"/>
      <c r="E14" s="206"/>
      <c r="F14" s="206"/>
      <c r="G14" s="264"/>
    </row>
    <row r="15" spans="2:7" ht="78.599999999999994" customHeight="1">
      <c r="B15" s="263"/>
      <c r="C15" s="155" t="s">
        <v>383</v>
      </c>
      <c r="D15" s="206"/>
      <c r="E15" s="206"/>
      <c r="F15" s="206"/>
      <c r="G15" s="264"/>
    </row>
    <row r="16" spans="2:7" ht="89.55" customHeight="1">
      <c r="B16" s="263"/>
      <c r="C16" s="155" t="s">
        <v>384</v>
      </c>
      <c r="D16" s="206"/>
      <c r="E16" s="206"/>
      <c r="F16" s="206"/>
      <c r="G16" s="264"/>
    </row>
    <row r="17" spans="2:7" ht="80.55" customHeight="1">
      <c r="B17" s="263"/>
      <c r="C17" s="155" t="s">
        <v>385</v>
      </c>
      <c r="D17" s="206"/>
      <c r="E17" s="206"/>
      <c r="F17" s="206"/>
      <c r="G17" s="264"/>
    </row>
    <row r="18" spans="2:7" ht="80.099999999999994" customHeight="1">
      <c r="B18" s="263"/>
      <c r="C18" s="155" t="s">
        <v>388</v>
      </c>
      <c r="D18" s="206"/>
      <c r="E18" s="206"/>
      <c r="F18" s="206"/>
      <c r="G18" s="264"/>
    </row>
    <row r="19" spans="2:7" ht="92.1" customHeight="1">
      <c r="B19" s="263"/>
      <c r="C19" s="155" t="s">
        <v>389</v>
      </c>
      <c r="D19" s="155"/>
      <c r="E19" s="206"/>
      <c r="F19" s="206"/>
      <c r="G19" s="264"/>
    </row>
    <row r="20" spans="2:7" ht="99" customHeight="1" thickBot="1">
      <c r="B20" s="265"/>
      <c r="C20" s="156" t="s">
        <v>386</v>
      </c>
      <c r="D20" s="156"/>
      <c r="E20" s="207"/>
      <c r="F20" s="207"/>
      <c r="G20" s="266"/>
    </row>
    <row r="21" spans="2:7" ht="98.1" customHeight="1" thickBot="1">
      <c r="B21" s="255" t="s">
        <v>471</v>
      </c>
      <c r="C21" s="280"/>
      <c r="D21" s="280"/>
      <c r="E21" s="280"/>
      <c r="F21" s="280"/>
      <c r="G21" s="281"/>
    </row>
    <row r="22" spans="2:7"/>
    <row r="23" spans="2:7"/>
    <row r="24" spans="2:7"/>
    <row r="25" spans="2:7"/>
    <row r="26" spans="2:7"/>
    <row r="27" spans="2:7"/>
    <row r="28" spans="2:7"/>
  </sheetData>
  <sheetProtection formatColumns="0" formatRows="0" insertRows="0" deleteRows="0" sort="0"/>
  <mergeCells count="6">
    <mergeCell ref="C21:G21"/>
    <mergeCell ref="C10:G10"/>
    <mergeCell ref="C8:E8"/>
    <mergeCell ref="B1:G4"/>
    <mergeCell ref="C6:G6"/>
    <mergeCell ref="C7:G7"/>
  </mergeCells>
  <phoneticPr fontId="29" type="noConversion"/>
  <conditionalFormatting sqref="B12:F13 B14:G20">
    <cfRule type="containsText" dxfId="13" priority="26" operator="containsText" text="Baixo">
      <formula>NOT(ISERROR(SEARCH("Baixo",B12)))</formula>
    </cfRule>
    <cfRule type="containsText" dxfId="12" priority="27" operator="containsText" text="Moderado">
      <formula>NOT(ISERROR(SEARCH("Moderado",B12)))</formula>
    </cfRule>
    <cfRule type="containsText" dxfId="11" priority="28" operator="containsText" text="Alto">
      <formula>NOT(ISERROR(SEARCH("Alto",B12)))</formula>
    </cfRule>
    <cfRule type="containsText" dxfId="10" priority="29" operator="containsText" text="Crítico">
      <formula>NOT(ISERROR(SEARCH("Crítico",B12)))</formula>
    </cfRule>
    <cfRule type="containsText" dxfId="9" priority="30" operator="containsText" text="Irrelevante">
      <formula>NOT(ISERROR(SEARCH("Irrelevante",B12)))</formula>
    </cfRule>
  </conditionalFormatting>
  <conditionalFormatting sqref="G12:G13">
    <cfRule type="containsText" dxfId="8" priority="1" operator="containsText" text="Baixo">
      <formula>NOT(ISERROR(SEARCH("Baixo",G12)))</formula>
    </cfRule>
    <cfRule type="containsText" dxfId="7" priority="2" operator="containsText" text="Moderado">
      <formula>NOT(ISERROR(SEARCH("Moderado",G12)))</formula>
    </cfRule>
    <cfRule type="containsText" dxfId="6" priority="3" operator="containsText" text="Alto">
      <formula>NOT(ISERROR(SEARCH("Alto",G12)))</formula>
    </cfRule>
    <cfRule type="containsText" dxfId="5" priority="4" operator="containsText" text="Crítico">
      <formula>NOT(ISERROR(SEARCH("Crítico",G12)))</formula>
    </cfRule>
    <cfRule type="containsText" dxfId="4" priority="5" operator="containsText" text="Irrelevante">
      <formula>NOT(ISERROR(SEARCH("Irrelevante",G12)))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95EB063-F0F5-4204-955F-9FDA793E9430}">
          <x14:formula1>
            <xm:f>'Matriz de Riscos e Controles'!$D$12:$D$20</xm:f>
          </x14:formula1>
          <xm:sqref>B12:B20</xm:sqref>
        </x14:dataValidation>
        <x14:dataValidation type="list" allowBlank="1" showInputMessage="1" showErrorMessage="1" xr:uid="{CA027C15-7514-4F75-A559-51234BF946DF}">
          <x14:formula1>
            <xm:f>Listas!$H$3:$H$33</xm:f>
          </x14:formula1>
          <xm:sqref>C8:D9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A842-2E72-4FB5-9BB1-4265FD66206A}">
  <sheetPr codeName="Planilha8"/>
  <dimension ref="A1:M28"/>
  <sheetViews>
    <sheetView showGridLines="0" topLeftCell="A5" zoomScale="80" zoomScaleNormal="80" workbookViewId="0">
      <selection activeCell="B20" sqref="B20"/>
    </sheetView>
  </sheetViews>
  <sheetFormatPr defaultColWidth="0" defaultRowHeight="14.55" customHeight="1" zeroHeight="1"/>
  <cols>
    <col min="1" max="1" width="4.21875" customWidth="1"/>
    <col min="2" max="2" width="35.21875" style="29" customWidth="1"/>
    <col min="3" max="3" width="29.77734375" style="108" customWidth="1"/>
    <col min="4" max="4" width="31" customWidth="1"/>
    <col min="5" max="6" width="27.5546875" customWidth="1"/>
    <col min="7" max="9" width="25.77734375" customWidth="1"/>
    <col min="10" max="10" width="27.5546875" customWidth="1"/>
    <col min="11" max="11" width="29.44140625" customWidth="1"/>
    <col min="12" max="12" width="2.77734375" customWidth="1"/>
    <col min="13" max="13" width="3.5546875" hidden="1" customWidth="1"/>
    <col min="14" max="16384" width="24" hidden="1"/>
  </cols>
  <sheetData>
    <row r="1" spans="2:11" s="1" customFormat="1" ht="16.8">
      <c r="B1" s="372" t="s">
        <v>124</v>
      </c>
      <c r="C1" s="373"/>
      <c r="D1" s="373"/>
      <c r="E1" s="373"/>
      <c r="F1" s="373"/>
      <c r="G1" s="373"/>
      <c r="H1" s="373"/>
      <c r="I1" s="373"/>
      <c r="J1" s="373"/>
      <c r="K1" s="373"/>
    </row>
    <row r="2" spans="2:11" s="1" customFormat="1" ht="16.8">
      <c r="B2" s="374"/>
      <c r="C2" s="375"/>
      <c r="D2" s="375"/>
      <c r="E2" s="375"/>
      <c r="F2" s="375"/>
      <c r="G2" s="375"/>
      <c r="H2" s="375"/>
      <c r="I2" s="375"/>
      <c r="J2" s="375"/>
      <c r="K2" s="375"/>
    </row>
    <row r="3" spans="2:11" s="1" customFormat="1" ht="16.8">
      <c r="B3" s="26"/>
      <c r="C3" s="16"/>
    </row>
    <row r="4" spans="2:11" s="1" customFormat="1" ht="16.8">
      <c r="B4" s="59" t="s">
        <v>125</v>
      </c>
      <c r="C4" s="376">
        <f>Entendimento!C5</f>
        <v>0</v>
      </c>
      <c r="D4" s="376"/>
      <c r="E4" s="376"/>
      <c r="F4" s="376"/>
      <c r="G4" s="376"/>
      <c r="H4" s="376"/>
      <c r="I4" s="376"/>
      <c r="J4" s="109"/>
      <c r="K4" s="109"/>
    </row>
    <row r="5" spans="2:11" s="1" customFormat="1" ht="16.8">
      <c r="B5" s="27"/>
      <c r="C5" s="16"/>
      <c r="D5" s="16"/>
      <c r="E5" s="16"/>
      <c r="F5" s="16"/>
      <c r="G5" s="16"/>
      <c r="H5" s="16"/>
      <c r="I5" s="16"/>
      <c r="J5" s="109"/>
      <c r="K5" s="109"/>
    </row>
    <row r="6" spans="2:11" s="1" customFormat="1" ht="16.8">
      <c r="B6" s="59" t="s">
        <v>126</v>
      </c>
      <c r="C6" s="377">
        <f>Entendimento!C6</f>
        <v>0</v>
      </c>
      <c r="D6" s="377"/>
      <c r="E6" s="377"/>
      <c r="F6" s="377"/>
      <c r="G6" s="377"/>
      <c r="H6" s="377"/>
      <c r="I6" s="377"/>
      <c r="J6" s="109"/>
      <c r="K6" s="109"/>
    </row>
    <row r="7" spans="2:11" s="1" customFormat="1" ht="16.8">
      <c r="B7" s="27"/>
      <c r="C7" s="16"/>
      <c r="D7" s="16"/>
      <c r="E7" s="109"/>
      <c r="F7" s="109"/>
      <c r="G7" s="109"/>
      <c r="H7" s="109"/>
      <c r="I7" s="109"/>
      <c r="J7" s="109"/>
      <c r="K7" s="109"/>
    </row>
    <row r="8" spans="2:11" s="1" customFormat="1" ht="16.8">
      <c r="B8" s="59" t="s">
        <v>4</v>
      </c>
      <c r="C8" s="378"/>
      <c r="D8" s="379"/>
      <c r="E8" s="379"/>
      <c r="F8" s="379"/>
      <c r="G8" s="379"/>
      <c r="H8" s="379"/>
      <c r="I8" s="380"/>
      <c r="J8" s="110" t="s">
        <v>5</v>
      </c>
      <c r="K8" s="111"/>
    </row>
    <row r="9" spans="2:11" s="1" customFormat="1" ht="16.8">
      <c r="B9" s="28"/>
      <c r="C9" s="16"/>
      <c r="D9" s="16"/>
      <c r="E9" s="109"/>
      <c r="F9" s="109"/>
      <c r="G9" s="109"/>
      <c r="H9" s="109"/>
      <c r="I9" s="109"/>
      <c r="J9" s="112"/>
      <c r="K9" s="109"/>
    </row>
    <row r="10" spans="2:11" s="1" customFormat="1" ht="16.8">
      <c r="B10" s="59" t="s">
        <v>6</v>
      </c>
      <c r="C10" s="381"/>
      <c r="D10" s="382"/>
      <c r="E10" s="382"/>
      <c r="F10" s="382"/>
      <c r="G10" s="382"/>
      <c r="H10" s="382"/>
      <c r="I10" s="383"/>
      <c r="J10" s="110" t="s">
        <v>5</v>
      </c>
      <c r="K10" s="113"/>
    </row>
    <row r="11" spans="2:11" s="3" customFormat="1" ht="16.8">
      <c r="C11" s="16"/>
      <c r="D11" s="16"/>
      <c r="E11" s="16"/>
      <c r="F11" s="16"/>
      <c r="G11" s="16"/>
      <c r="H11" s="16"/>
      <c r="I11" s="16"/>
      <c r="J11" s="16"/>
      <c r="K11" s="16"/>
    </row>
    <row r="12" spans="2:11" s="1" customFormat="1" ht="56.1" customHeight="1">
      <c r="B12" s="59" t="e">
        <f>Entendimento!#REF!</f>
        <v>#REF!</v>
      </c>
      <c r="C12" s="371" t="e">
        <f>Entendimento!#REF!</f>
        <v>#REF!</v>
      </c>
      <c r="D12" s="371"/>
      <c r="E12" s="371"/>
      <c r="F12" s="371"/>
      <c r="G12" s="371"/>
      <c r="H12" s="371"/>
      <c r="I12" s="371"/>
      <c r="J12" s="371"/>
      <c r="K12" s="371"/>
    </row>
    <row r="13" spans="2:11" s="1" customFormat="1" ht="16.8">
      <c r="B13" s="26"/>
      <c r="C13" s="16"/>
      <c r="D13" s="16"/>
      <c r="E13" s="109"/>
      <c r="F13" s="109"/>
      <c r="G13" s="109"/>
      <c r="H13" s="109"/>
      <c r="I13" s="109"/>
      <c r="J13" s="109"/>
      <c r="K13" s="109"/>
    </row>
    <row r="14" spans="2:11" s="1" customFormat="1" ht="16.8">
      <c r="B14" s="59" t="str">
        <f>Entendimento!B14</f>
        <v>Objetivo(s) do Objeto do Trabalho</v>
      </c>
      <c r="C14" s="370" t="str">
        <f>Entendimento!C17</f>
        <v>Objetivo 4</v>
      </c>
      <c r="D14" s="370"/>
      <c r="E14" s="370"/>
      <c r="F14" s="370"/>
      <c r="G14" s="370"/>
      <c r="H14" s="370"/>
      <c r="I14" s="370"/>
      <c r="J14" s="370"/>
      <c r="K14" s="370"/>
    </row>
    <row r="15" spans="2:11" s="1" customFormat="1" ht="16.8">
      <c r="B15" s="26"/>
      <c r="C15" s="16"/>
      <c r="D15" s="16"/>
      <c r="E15" s="109"/>
      <c r="F15" s="109"/>
      <c r="G15" s="109"/>
      <c r="H15" s="109"/>
      <c r="I15" s="109"/>
      <c r="J15" s="109"/>
      <c r="K15" s="109"/>
    </row>
    <row r="16" spans="2:11" s="1" customFormat="1" ht="16.8">
      <c r="B16" s="19" t="s">
        <v>127</v>
      </c>
      <c r="C16" s="371" t="e">
        <f>Entendimento!#REF!</f>
        <v>#REF!</v>
      </c>
      <c r="D16" s="371"/>
      <c r="E16" s="371"/>
      <c r="F16" s="371"/>
      <c r="G16" s="371"/>
      <c r="H16" s="371"/>
      <c r="I16" s="371"/>
      <c r="J16" s="371"/>
      <c r="K16" s="371"/>
    </row>
    <row r="18" spans="2:11" s="24" customFormat="1" ht="16.8">
      <c r="B18" s="60" t="s">
        <v>18</v>
      </c>
      <c r="C18" s="105" t="s">
        <v>128</v>
      </c>
      <c r="D18" s="60" t="s">
        <v>129</v>
      </c>
      <c r="E18" s="60" t="s">
        <v>130</v>
      </c>
      <c r="F18" s="60" t="s">
        <v>131</v>
      </c>
      <c r="G18" s="60" t="s">
        <v>132</v>
      </c>
      <c r="H18" s="60" t="s">
        <v>133</v>
      </c>
      <c r="I18" s="60" t="s">
        <v>134</v>
      </c>
      <c r="J18" s="60" t="s">
        <v>135</v>
      </c>
      <c r="K18" s="60" t="s">
        <v>136</v>
      </c>
    </row>
    <row r="19" spans="2:11" ht="14.4">
      <c r="B19" s="25"/>
      <c r="C19" s="106"/>
      <c r="D19" s="25"/>
      <c r="E19" s="25"/>
      <c r="F19" s="25"/>
      <c r="G19" s="25"/>
      <c r="H19" s="25"/>
      <c r="I19" s="25"/>
      <c r="J19" s="25"/>
      <c r="K19" s="25"/>
    </row>
    <row r="20" spans="2:11" ht="14.4">
      <c r="B20" s="103">
        <f>'Matriz de Planejamento'!B12</f>
        <v>0</v>
      </c>
      <c r="C20" s="107" t="e">
        <f>VLOOKUP(B20,'Identificação e Análise'!C12:F38,4,0)</f>
        <v>#N/A</v>
      </c>
      <c r="D20" s="31" t="e">
        <f>VLOOKUP(B20,'Identificação e Análise'!C12:F38,6,0)</f>
        <v>#N/A</v>
      </c>
      <c r="E20" s="31" t="e">
        <f>VLOOKUP(B20,Tabela20[[Risco]:[Referência da Subquestão]],4,0)</f>
        <v>#N/A</v>
      </c>
      <c r="F20" s="31" t="e">
        <f>VLOOKUP(B20,#REF!,3,0)</f>
        <v>#REF!</v>
      </c>
      <c r="G20" s="30" t="e">
        <f>VLOOKUP(B20,#REF!,7,0)</f>
        <v>#REF!</v>
      </c>
      <c r="H20" s="30" t="e">
        <f>VLOOKUP(B20,#REF!,8,0)</f>
        <v>#REF!</v>
      </c>
      <c r="I20" s="31" t="e">
        <f>VLOOKUP(B20,#REF!,9,0)</f>
        <v>#REF!</v>
      </c>
      <c r="J20" s="31" t="e">
        <f>VLOOKUP(B20,#REF!,10,0)</f>
        <v>#REF!</v>
      </c>
      <c r="K20" s="34"/>
    </row>
    <row r="21" spans="2:11" ht="14.4">
      <c r="B21" s="103">
        <f>'Matriz de Planejamento'!B13</f>
        <v>0</v>
      </c>
      <c r="C21" s="107" t="e">
        <f>VLOOKUP(B21,'Identificação e Análise'!C15:F42,4,0)</f>
        <v>#N/A</v>
      </c>
      <c r="D21" s="31" t="e">
        <f>VLOOKUP(B21,'Identificação e Análise'!C15:F42,6,0)</f>
        <v>#N/A</v>
      </c>
      <c r="E21" s="31" t="e">
        <f>VLOOKUP(B21,Tabela20[[Risco]:[Referência da Subquestão]],4,0)</f>
        <v>#N/A</v>
      </c>
      <c r="F21" s="31" t="e">
        <f>VLOOKUP(B21,#REF!,3,0)</f>
        <v>#REF!</v>
      </c>
      <c r="G21" s="30" t="e">
        <f>VLOOKUP(B21,#REF!,7,0)</f>
        <v>#REF!</v>
      </c>
      <c r="H21" s="30" t="e">
        <f>VLOOKUP(B21,#REF!,8,0)</f>
        <v>#REF!</v>
      </c>
      <c r="I21" s="31" t="e">
        <f>VLOOKUP(B21,#REF!,9,0)</f>
        <v>#REF!</v>
      </c>
      <c r="J21" s="31" t="e">
        <f>VLOOKUP(B21,#REF!,10,0)</f>
        <v>#REF!</v>
      </c>
      <c r="K21" s="34"/>
    </row>
    <row r="22" spans="2:11" ht="14.4">
      <c r="B22" s="103">
        <f>'Matriz de Planejamento'!B14</f>
        <v>0</v>
      </c>
      <c r="C22" s="107" t="e">
        <f>VLOOKUP(B22,'Identificação e Análise'!C18:F43,4,0)</f>
        <v>#N/A</v>
      </c>
      <c r="D22" s="31" t="e">
        <f>VLOOKUP(B22,'Identificação e Análise'!C18:F43,6,0)</f>
        <v>#N/A</v>
      </c>
      <c r="E22" s="31" t="e">
        <f>VLOOKUP(B22,Tabela20[[Risco]:[Referência da Subquestão]],4,0)</f>
        <v>#N/A</v>
      </c>
      <c r="F22" s="31" t="e">
        <f>VLOOKUP(B22,#REF!,3,0)</f>
        <v>#REF!</v>
      </c>
      <c r="G22" s="30" t="e">
        <f>VLOOKUP(B22,#REF!,7,0)</f>
        <v>#REF!</v>
      </c>
      <c r="H22" s="30" t="e">
        <f>VLOOKUP(B22,#REF!,8,0)</f>
        <v>#REF!</v>
      </c>
      <c r="I22" s="31" t="e">
        <f>VLOOKUP(B22,#REF!,9,0)</f>
        <v>#REF!</v>
      </c>
      <c r="J22" s="31" t="e">
        <f>VLOOKUP(B22,#REF!,10,0)</f>
        <v>#REF!</v>
      </c>
      <c r="K22" s="34"/>
    </row>
    <row r="23" spans="2:11" ht="14.4">
      <c r="B23" s="103">
        <f>'Matriz de Planejamento'!B15</f>
        <v>0</v>
      </c>
      <c r="C23" s="107" t="e">
        <f>VLOOKUP(B23,'Identificação e Análise'!C21:F43,4,0)</f>
        <v>#N/A</v>
      </c>
      <c r="D23" s="31" t="e">
        <f>VLOOKUP(B23,'Identificação e Análise'!C21:F43,6,0)</f>
        <v>#N/A</v>
      </c>
      <c r="E23" s="31" t="e">
        <f>VLOOKUP(B23,Tabela20[[Risco]:[Referência da Subquestão]],4,0)</f>
        <v>#N/A</v>
      </c>
      <c r="F23" s="31" t="e">
        <f>VLOOKUP(B23,#REF!,3,0)</f>
        <v>#REF!</v>
      </c>
      <c r="G23" s="30" t="e">
        <f>VLOOKUP(B23,#REF!,7,0)</f>
        <v>#REF!</v>
      </c>
      <c r="H23" s="30" t="e">
        <f>VLOOKUP(B23,#REF!,8,0)</f>
        <v>#REF!</v>
      </c>
      <c r="I23" s="31" t="e">
        <f>VLOOKUP(B23,#REF!,9,0)</f>
        <v>#REF!</v>
      </c>
      <c r="J23" s="31" t="e">
        <f>VLOOKUP(B23,#REF!,10,0)</f>
        <v>#REF!</v>
      </c>
      <c r="K23" s="34"/>
    </row>
    <row r="24" spans="2:11" ht="14.4">
      <c r="B24" s="103">
        <f>'Matriz de Planejamento'!B16</f>
        <v>0</v>
      </c>
      <c r="C24" s="107" t="e">
        <f>VLOOKUP(B24,'Identificação e Análise'!C24:F43,4,0)</f>
        <v>#N/A</v>
      </c>
      <c r="D24" s="31" t="e">
        <f>VLOOKUP(B24,'Identificação e Análise'!C24:F43,6,0)</f>
        <v>#N/A</v>
      </c>
      <c r="E24" s="31" t="e">
        <f>VLOOKUP(B24,Tabela20[[Risco]:[Referência da Subquestão]],4,0)</f>
        <v>#N/A</v>
      </c>
      <c r="F24" s="31" t="e">
        <f>VLOOKUP(B24,#REF!,3,0)</f>
        <v>#REF!</v>
      </c>
      <c r="G24" s="30" t="e">
        <f>VLOOKUP(B24,#REF!,7,0)</f>
        <v>#REF!</v>
      </c>
      <c r="H24" s="30" t="e">
        <f>VLOOKUP(B24,#REF!,8,0)</f>
        <v>#REF!</v>
      </c>
      <c r="I24" s="31" t="e">
        <f>VLOOKUP(B24,#REF!,9,0)</f>
        <v>#REF!</v>
      </c>
      <c r="J24" s="31" t="e">
        <f>VLOOKUP(B24,#REF!,10,0)</f>
        <v>#REF!</v>
      </c>
      <c r="K24" s="34"/>
    </row>
    <row r="25" spans="2:11" ht="14.4">
      <c r="B25" s="103">
        <f>'Matriz de Planejamento'!B17</f>
        <v>0</v>
      </c>
      <c r="C25" s="107" t="e">
        <f>VLOOKUP(B25,'Identificação e Análise'!C27:F43,4,0)</f>
        <v>#N/A</v>
      </c>
      <c r="D25" s="31" t="e">
        <f>VLOOKUP(B25,'Identificação e Análise'!C27:F43,6,0)</f>
        <v>#N/A</v>
      </c>
      <c r="E25" s="31" t="e">
        <f>VLOOKUP(B25,Tabela20[[Risco]:[Referência da Subquestão]],4,0)</f>
        <v>#N/A</v>
      </c>
      <c r="F25" s="31" t="e">
        <f>VLOOKUP(B25,#REF!,3,0)</f>
        <v>#REF!</v>
      </c>
      <c r="G25" s="30" t="e">
        <f>VLOOKUP(B25,#REF!,7,0)</f>
        <v>#REF!</v>
      </c>
      <c r="H25" s="30" t="e">
        <f>VLOOKUP(B25,#REF!,8,0)</f>
        <v>#REF!</v>
      </c>
      <c r="I25" s="31" t="e">
        <f>VLOOKUP(B25,#REF!,9,0)</f>
        <v>#REF!</v>
      </c>
      <c r="J25" s="31" t="e">
        <f>VLOOKUP(B25,#REF!,10,0)</f>
        <v>#REF!</v>
      </c>
      <c r="K25" s="34"/>
    </row>
    <row r="26" spans="2:11" ht="14.4">
      <c r="B26" s="103">
        <f>'Matriz de Planejamento'!B18</f>
        <v>0</v>
      </c>
      <c r="C26" s="107" t="e">
        <f>VLOOKUP(B26,'Identificação e Análise'!C30:F43,4,0)</f>
        <v>#N/A</v>
      </c>
      <c r="D26" s="31" t="e">
        <f>VLOOKUP(B26,'Identificação e Análise'!C30:F43,6,0)</f>
        <v>#N/A</v>
      </c>
      <c r="E26" s="31" t="e">
        <f>VLOOKUP(B26,Tabela20[[Risco]:[Referência da Subquestão]],4,0)</f>
        <v>#N/A</v>
      </c>
      <c r="F26" s="31" t="e">
        <f>VLOOKUP(B26,#REF!,3,0)</f>
        <v>#REF!</v>
      </c>
      <c r="G26" s="30" t="e">
        <f>VLOOKUP(B26,#REF!,7,0)</f>
        <v>#REF!</v>
      </c>
      <c r="H26" s="30" t="e">
        <f>VLOOKUP(B26,#REF!,8,0)</f>
        <v>#REF!</v>
      </c>
      <c r="I26" s="31" t="e">
        <f>VLOOKUP(B26,#REF!,9,0)</f>
        <v>#REF!</v>
      </c>
      <c r="J26" s="31" t="e">
        <f>VLOOKUP(B26,#REF!,10,0)</f>
        <v>#REF!</v>
      </c>
      <c r="K26" s="34"/>
    </row>
    <row r="27" spans="2:11" ht="14.4">
      <c r="B27" s="103">
        <f>'Matriz de Planejamento'!B19</f>
        <v>0</v>
      </c>
      <c r="C27" s="107" t="e">
        <f>VLOOKUP(B27,'Identificação e Análise'!C33:F43,4,0)</f>
        <v>#N/A</v>
      </c>
      <c r="D27" s="31" t="e">
        <f>VLOOKUP(B27,'Identificação e Análise'!C33:F43,6,0)</f>
        <v>#N/A</v>
      </c>
      <c r="E27" s="31" t="e">
        <f>VLOOKUP(B27,Tabela20[[Risco]:[Referência da Subquestão]],4,0)</f>
        <v>#N/A</v>
      </c>
      <c r="F27" s="31" t="e">
        <f>VLOOKUP(B27,#REF!,3,0)</f>
        <v>#REF!</v>
      </c>
      <c r="G27" s="30" t="e">
        <f>VLOOKUP(B27,#REF!,7,0)</f>
        <v>#REF!</v>
      </c>
      <c r="H27" s="30" t="e">
        <f>VLOOKUP(B27,#REF!,8,0)</f>
        <v>#REF!</v>
      </c>
      <c r="I27" s="31" t="e">
        <f>VLOOKUP(B27,#REF!,9,0)</f>
        <v>#REF!</v>
      </c>
      <c r="J27" s="31" t="e">
        <f>VLOOKUP(B27,#REF!,10,0)</f>
        <v>#REF!</v>
      </c>
      <c r="K27" s="34"/>
    </row>
    <row r="28" spans="2:11" ht="14.4">
      <c r="B28" s="103">
        <f>'Matriz de Planejamento'!B20</f>
        <v>0</v>
      </c>
      <c r="C28" s="107" t="e">
        <f>VLOOKUP(B28,'Identificação e Análise'!C36:F43,4,0)</f>
        <v>#N/A</v>
      </c>
      <c r="D28" s="31" t="e">
        <f>VLOOKUP(B28,'Identificação e Análise'!C36:F43,6,0)</f>
        <v>#N/A</v>
      </c>
      <c r="E28" s="31" t="e">
        <f>VLOOKUP(B28,Tabela20[[Risco]:[Referência da Subquestão]],4,0)</f>
        <v>#N/A</v>
      </c>
      <c r="F28" s="31" t="e">
        <f>VLOOKUP(B28,#REF!,3,0)</f>
        <v>#REF!</v>
      </c>
      <c r="G28" s="30" t="e">
        <f>VLOOKUP(B28,#REF!,7,0)</f>
        <v>#REF!</v>
      </c>
      <c r="H28" s="30" t="e">
        <f>VLOOKUP(B28,#REF!,8,0)</f>
        <v>#REF!</v>
      </c>
      <c r="I28" s="31" t="e">
        <f>VLOOKUP(B28,#REF!,9,0)</f>
        <v>#REF!</v>
      </c>
      <c r="J28" s="31" t="e">
        <f>VLOOKUP(B28,#REF!,10,0)</f>
        <v>#REF!</v>
      </c>
      <c r="K28" s="34"/>
    </row>
  </sheetData>
  <sheetProtection formatCells="0" formatRows="0" insertColumns="0" insertRows="0" insertHyperlinks="0" deleteRows="0" selectLockedCells="1" sort="0" autoFilter="0" pivotTables="0"/>
  <mergeCells count="8">
    <mergeCell ref="C14:K14"/>
    <mergeCell ref="C16:K16"/>
    <mergeCell ref="B1:K2"/>
    <mergeCell ref="C12:K12"/>
    <mergeCell ref="C4:I4"/>
    <mergeCell ref="C6:I6"/>
    <mergeCell ref="C8:I8"/>
    <mergeCell ref="C10:I10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2536A0-294D-42A2-9E97-6342FF07B9C9}">
          <x14:formula1>
            <xm:f>Listas!$H$3:$H$33</xm:f>
          </x14:formula1>
          <xm:sqref>C8 C10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90DF-EC8F-4282-9320-41AE0795E135}">
  <sheetPr codeName="Planilha15">
    <tabColor rgb="FFC00000"/>
  </sheetPr>
  <dimension ref="A1:L20"/>
  <sheetViews>
    <sheetView showGridLines="0" zoomScale="80" zoomScaleNormal="80" workbookViewId="0">
      <selection activeCell="J17" sqref="J17"/>
    </sheetView>
  </sheetViews>
  <sheetFormatPr defaultColWidth="0" defaultRowHeight="14.55" customHeight="1" zeroHeight="1"/>
  <cols>
    <col min="1" max="1" width="4.21875" customWidth="1"/>
    <col min="2" max="2" width="35.21875" style="29" customWidth="1"/>
    <col min="3" max="3" width="29.77734375" customWidth="1"/>
    <col min="4" max="4" width="31" customWidth="1"/>
    <col min="5" max="5" width="27.5546875" customWidth="1"/>
    <col min="6" max="7" width="25.77734375" customWidth="1"/>
    <col min="8" max="8" width="27.5546875" customWidth="1"/>
    <col min="9" max="9" width="23.77734375" customWidth="1"/>
    <col min="10" max="10" width="24" customWidth="1"/>
    <col min="11" max="11" width="2.77734375" customWidth="1"/>
    <col min="12" max="12" width="3.5546875" hidden="1" customWidth="1"/>
    <col min="13" max="16384" width="24" hidden="1"/>
  </cols>
  <sheetData>
    <row r="1" spans="2:10" s="1" customFormat="1" ht="37.5" customHeight="1">
      <c r="B1" s="372" t="s">
        <v>124</v>
      </c>
      <c r="C1" s="373"/>
      <c r="D1" s="373"/>
      <c r="E1" s="373"/>
      <c r="F1" s="373"/>
      <c r="G1" s="373"/>
      <c r="H1" s="373"/>
      <c r="I1" s="373"/>
      <c r="J1" s="373"/>
    </row>
    <row r="2" spans="2:10" s="1" customFormat="1" ht="51" customHeight="1">
      <c r="B2" s="374"/>
      <c r="C2" s="375"/>
      <c r="D2" s="375"/>
      <c r="E2" s="375"/>
      <c r="F2" s="375"/>
      <c r="G2" s="375"/>
      <c r="H2" s="375"/>
      <c r="I2" s="375"/>
      <c r="J2" s="375"/>
    </row>
    <row r="3" spans="2:10" s="1" customFormat="1" ht="16.8">
      <c r="B3" s="26"/>
    </row>
    <row r="4" spans="2:10" s="1" customFormat="1" ht="16.8">
      <c r="B4" s="59" t="s">
        <v>125</v>
      </c>
      <c r="C4" s="387">
        <f>Entendimento!C5</f>
        <v>0</v>
      </c>
      <c r="D4" s="388"/>
      <c r="E4" s="388"/>
      <c r="F4" s="388"/>
      <c r="G4" s="389"/>
    </row>
    <row r="5" spans="2:10" s="1" customFormat="1" ht="16.8">
      <c r="B5" s="27"/>
      <c r="C5" s="17"/>
      <c r="D5" s="17"/>
      <c r="E5" s="3"/>
      <c r="F5" s="3"/>
      <c r="G5" s="3"/>
    </row>
    <row r="6" spans="2:10" s="1" customFormat="1" ht="16.8">
      <c r="B6" s="59" t="s">
        <v>126</v>
      </c>
      <c r="C6" s="390">
        <f>Entendimento!C6</f>
        <v>0</v>
      </c>
      <c r="D6" s="391"/>
      <c r="E6" s="391"/>
      <c r="F6" s="391"/>
      <c r="G6" s="392"/>
    </row>
    <row r="7" spans="2:10" s="1" customFormat="1" ht="16.8">
      <c r="B7" s="27"/>
      <c r="C7" s="16"/>
      <c r="D7" s="16"/>
      <c r="E7" s="2"/>
      <c r="F7" s="2"/>
      <c r="G7" s="2"/>
    </row>
    <row r="8" spans="2:10" s="1" customFormat="1" ht="16.8">
      <c r="B8" s="59" t="s">
        <v>4</v>
      </c>
      <c r="C8" s="393"/>
      <c r="D8" s="394"/>
      <c r="E8" s="394"/>
      <c r="F8" s="394"/>
      <c r="G8" s="395"/>
      <c r="H8" s="60" t="s">
        <v>5</v>
      </c>
      <c r="I8" s="36"/>
      <c r="J8" s="37"/>
    </row>
    <row r="9" spans="2:10" s="1" customFormat="1" ht="16.8">
      <c r="B9" s="28"/>
      <c r="C9" s="16"/>
      <c r="D9" s="16"/>
      <c r="E9" s="2"/>
      <c r="F9" s="2"/>
      <c r="G9" s="2"/>
      <c r="H9" s="114"/>
    </row>
    <row r="10" spans="2:10" s="1" customFormat="1" ht="16.8">
      <c r="B10" s="59" t="s">
        <v>6</v>
      </c>
      <c r="C10" s="393"/>
      <c r="D10" s="394"/>
      <c r="E10" s="394"/>
      <c r="F10" s="394"/>
      <c r="G10" s="395"/>
      <c r="H10" s="60" t="s">
        <v>5</v>
      </c>
      <c r="I10" s="35"/>
      <c r="J10" s="38"/>
    </row>
    <row r="11" spans="2:10" s="3" customFormat="1" ht="16.8">
      <c r="C11" s="17"/>
      <c r="D11" s="17"/>
    </row>
    <row r="12" spans="2:10" s="1" customFormat="1" ht="16.8">
      <c r="B12" s="59" t="e">
        <f>Entendimento!#REF!</f>
        <v>#REF!</v>
      </c>
      <c r="C12" s="396" t="e">
        <f>Entendimento!#REF!</f>
        <v>#REF!</v>
      </c>
      <c r="D12" s="397"/>
      <c r="E12" s="397"/>
      <c r="F12" s="397"/>
      <c r="G12" s="397"/>
      <c r="H12" s="397"/>
      <c r="I12" s="397"/>
      <c r="J12" s="398"/>
    </row>
    <row r="13" spans="2:10" s="1" customFormat="1" ht="16.8">
      <c r="B13" s="26"/>
      <c r="C13" s="15"/>
      <c r="D13" s="15"/>
    </row>
    <row r="14" spans="2:10" s="1" customFormat="1" ht="16.8">
      <c r="B14" s="59" t="str">
        <f>Entendimento!B14</f>
        <v>Objetivo(s) do Objeto do Trabalho</v>
      </c>
      <c r="C14" s="384" t="str">
        <f>Entendimento!C17</f>
        <v>Objetivo 4</v>
      </c>
      <c r="D14" s="385"/>
      <c r="E14" s="385"/>
      <c r="F14" s="385"/>
      <c r="G14" s="385"/>
      <c r="H14" s="385"/>
      <c r="I14" s="385"/>
      <c r="J14" s="386"/>
    </row>
    <row r="15" spans="2:10" s="1" customFormat="1" ht="16.8">
      <c r="B15" s="26"/>
      <c r="C15" s="15"/>
      <c r="D15" s="15"/>
    </row>
    <row r="16" spans="2:10" s="1" customFormat="1" ht="16.8">
      <c r="B16" s="19" t="s">
        <v>127</v>
      </c>
      <c r="C16" s="384" t="e">
        <f>Entendimento!#REF!</f>
        <v>#REF!</v>
      </c>
      <c r="D16" s="385"/>
      <c r="E16" s="385"/>
      <c r="F16" s="385"/>
      <c r="G16" s="385"/>
      <c r="H16" s="385"/>
      <c r="I16" s="385"/>
      <c r="J16" s="386"/>
    </row>
    <row r="17" spans="2:10" s="14" customFormat="1" ht="16.8">
      <c r="B17" s="18"/>
      <c r="C17" s="18"/>
      <c r="D17" s="32"/>
      <c r="E17" s="33"/>
      <c r="F17" s="33"/>
      <c r="G17" s="23"/>
      <c r="H17" s="23"/>
      <c r="I17" s="23"/>
      <c r="J17" s="101" t="s">
        <v>137</v>
      </c>
    </row>
    <row r="18" spans="2:10" s="24" customFormat="1" ht="16.8">
      <c r="B18" s="45" t="s">
        <v>130</v>
      </c>
      <c r="C18" s="60" t="s">
        <v>18</v>
      </c>
      <c r="D18" s="60" t="s">
        <v>128</v>
      </c>
      <c r="E18" s="60" t="s">
        <v>129</v>
      </c>
      <c r="F18" s="60" t="s">
        <v>131</v>
      </c>
      <c r="G18" s="60" t="s">
        <v>132</v>
      </c>
      <c r="H18" s="60" t="s">
        <v>134</v>
      </c>
      <c r="I18" s="60" t="s">
        <v>135</v>
      </c>
      <c r="J18" s="60" t="s">
        <v>136</v>
      </c>
    </row>
    <row r="19" spans="2:10" ht="14.4">
      <c r="B19" s="80"/>
      <c r="C19" s="25"/>
      <c r="D19" s="25"/>
      <c r="E19" s="25"/>
      <c r="F19" s="25"/>
      <c r="G19" s="25"/>
      <c r="H19" s="25"/>
      <c r="I19" s="25"/>
      <c r="J19" s="25"/>
    </row>
    <row r="20" spans="2:10" ht="14.4">
      <c r="B20" s="102" t="e" cm="1">
        <f t="array" ref="B20">_xlfn._xlws.FILTER('Matriz de Achados(1)'!C20:C28,'Matriz de Referência'!$J$17='Matriz de Achados(1)'!$H$20:$H$28)</f>
        <v>#REF!</v>
      </c>
      <c r="C20" s="102" t="e" cm="1">
        <f t="array" ref="C20">_xlfn._xlws.FILTER('Matriz de Achados(1)'!D20:D28,'Matriz de Referência'!$J$17='Matriz de Achados(1)'!$H$20:$H$28)</f>
        <v>#REF!</v>
      </c>
      <c r="D20" s="102" t="e" cm="1">
        <f t="array" ref="D20">_xlfn._xlws.FILTER('Matriz de Achados(1)'!E20:E28,'Matriz de Referência'!$J$17='Matriz de Achados(1)'!$H$20:$H$28)</f>
        <v>#REF!</v>
      </c>
      <c r="E20" s="102" t="e" cm="1">
        <f t="array" ref="E20">_xlfn._xlws.FILTER('Matriz de Achados(1)'!F20:F28,'Matriz de Referência'!$J$17='Matriz de Achados(1)'!$H$20:$H$28)</f>
        <v>#REF!</v>
      </c>
      <c r="F20" s="102" t="e" cm="1">
        <f t="array" ref="F20">_xlfn._xlws.FILTER('Matriz de Achados(1)'!G20:G28,'Matriz de Referência'!$J$17='Matriz de Achados(1)'!$H$20:$H$28)</f>
        <v>#REF!</v>
      </c>
      <c r="G20" s="102" t="e" cm="1">
        <f t="array" ref="G20">_xlfn._xlws.FILTER('Matriz de Achados(1)'!H20:H40,'Matriz de Referência'!$J$17='Matriz de Achados(1)'!$H$20:$H$40)</f>
        <v>#REF!</v>
      </c>
      <c r="H20" s="102" t="e" cm="1">
        <f t="array" ref="H20">_xlfn._xlws.FILTER('Matriz de Achados(1)'!I20:I28,'Matriz de Referência'!$J$17='Matriz de Achados(1)'!$H$20:$H$28)</f>
        <v>#REF!</v>
      </c>
      <c r="I20" s="102" t="e" cm="1">
        <f t="array" ref="I20">_xlfn._xlws.FILTER('Matriz de Achados(1)'!J20:J28,'Matriz de Referência'!$J$17='Matriz de Achados(1)'!$H$20:$H$28)</f>
        <v>#REF!</v>
      </c>
      <c r="J20" s="34"/>
    </row>
  </sheetData>
  <sheetProtection formatCells="0" formatRows="0" insertColumns="0" insertRows="0" insertHyperlinks="0" deleteRows="0" selectLockedCells="1" sort="0" autoFilter="0" pivotTables="0"/>
  <mergeCells count="8">
    <mergeCell ref="C14:J14"/>
    <mergeCell ref="C16:J16"/>
    <mergeCell ref="B1:J2"/>
    <mergeCell ref="C4:G4"/>
    <mergeCell ref="C6:G6"/>
    <mergeCell ref="C8:G8"/>
    <mergeCell ref="C10:G10"/>
    <mergeCell ref="C12:J1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1B281A-8D3A-4DFC-B2C9-E88F16DBA075}">
          <x14:formula1>
            <xm:f>Listas!$H$3:$H$33</xm:f>
          </x14:formula1>
          <xm:sqref>C10:G10 C8:G8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260EB-3EDF-4B13-A7F7-65780F13AC62}">
  <sheetPr codeName="Planilha10"/>
  <dimension ref="A1:M71"/>
  <sheetViews>
    <sheetView showGridLines="0" showZeros="0" zoomScaleNormal="100" workbookViewId="0">
      <selection activeCell="D2" sqref="D2:D6"/>
    </sheetView>
  </sheetViews>
  <sheetFormatPr defaultColWidth="0" defaultRowHeight="13.2"/>
  <cols>
    <col min="1" max="1" width="3.21875" style="4" customWidth="1"/>
    <col min="2" max="2" width="120.77734375" style="4" customWidth="1"/>
    <col min="3" max="3" width="1.44140625" style="4" customWidth="1"/>
    <col min="4" max="4" width="37.21875" style="4" customWidth="1"/>
    <col min="5" max="5" width="1.44140625" style="4" customWidth="1"/>
    <col min="6" max="6" width="36.44140625" style="4" customWidth="1"/>
    <col min="7" max="7" width="1.44140625" style="4" customWidth="1"/>
    <col min="8" max="8" width="40.5546875" style="4" customWidth="1"/>
    <col min="9" max="9" width="1.21875" style="4" customWidth="1"/>
    <col min="10" max="10" width="32.44140625" style="97" customWidth="1"/>
    <col min="11" max="11" width="1.21875" style="97" customWidth="1"/>
    <col min="12" max="12" width="18.21875" style="97" hidden="1" customWidth="1"/>
    <col min="13" max="13" width="8.77734375" style="4" hidden="1" customWidth="1"/>
    <col min="14" max="14" width="0" style="4" hidden="1" customWidth="1"/>
    <col min="15" max="16384" width="0" style="4" hidden="1"/>
  </cols>
  <sheetData>
    <row r="1" spans="1:12">
      <c r="A1" s="79"/>
      <c r="B1" s="79"/>
    </row>
    <row r="2" spans="1:12" s="5" customFormat="1" ht="26.1" customHeight="1">
      <c r="A2" s="104"/>
      <c r="B2" s="150" t="s">
        <v>464</v>
      </c>
      <c r="C2" s="137"/>
      <c r="D2" s="150" t="s">
        <v>470</v>
      </c>
      <c r="E2" s="137"/>
      <c r="F2" s="150" t="s">
        <v>138</v>
      </c>
      <c r="G2" s="137"/>
      <c r="H2" s="150" t="s">
        <v>139</v>
      </c>
      <c r="I2" s="137"/>
      <c r="J2" s="151" t="s">
        <v>140</v>
      </c>
      <c r="K2" s="99"/>
      <c r="L2" s="98" t="s">
        <v>141</v>
      </c>
    </row>
    <row r="3" spans="1:12" ht="26.1" customHeight="1">
      <c r="A3" s="7"/>
      <c r="B3" s="212" t="s">
        <v>404</v>
      </c>
      <c r="D3" s="43" t="s">
        <v>152</v>
      </c>
      <c r="F3" s="43" t="s">
        <v>142</v>
      </c>
      <c r="H3" s="43" t="s">
        <v>143</v>
      </c>
      <c r="J3" s="100" t="s">
        <v>144</v>
      </c>
      <c r="L3" s="100" t="s">
        <v>145</v>
      </c>
    </row>
    <row r="4" spans="1:12" ht="26.1" customHeight="1">
      <c r="A4" s="7"/>
      <c r="B4" s="212" t="s">
        <v>405</v>
      </c>
      <c r="D4" s="43" t="s">
        <v>156</v>
      </c>
      <c r="F4" s="43" t="s">
        <v>150</v>
      </c>
      <c r="H4" s="43" t="s">
        <v>142</v>
      </c>
      <c r="J4" s="100" t="s">
        <v>137</v>
      </c>
      <c r="L4" s="100" t="s">
        <v>147</v>
      </c>
    </row>
    <row r="5" spans="1:12" ht="26.1" customHeight="1">
      <c r="A5" s="7"/>
      <c r="B5" s="212" t="s">
        <v>148</v>
      </c>
      <c r="D5" s="43" t="s">
        <v>395</v>
      </c>
      <c r="F5" s="43" t="s">
        <v>146</v>
      </c>
      <c r="H5" s="43" t="s">
        <v>396</v>
      </c>
      <c r="J5" s="100" t="s">
        <v>462</v>
      </c>
      <c r="L5" s="100" t="s">
        <v>151</v>
      </c>
    </row>
    <row r="6" spans="1:12" ht="26.1" customHeight="1">
      <c r="A6" s="7"/>
      <c r="B6" s="212" t="s">
        <v>406</v>
      </c>
      <c r="D6" s="43"/>
      <c r="F6" s="43" t="s">
        <v>165</v>
      </c>
      <c r="H6" s="43" t="s">
        <v>400</v>
      </c>
      <c r="J6" s="100" t="s">
        <v>463</v>
      </c>
    </row>
    <row r="7" spans="1:12" ht="26.1" customHeight="1">
      <c r="A7" s="7"/>
      <c r="B7" s="212" t="s">
        <v>407</v>
      </c>
      <c r="F7" s="43" t="s">
        <v>164</v>
      </c>
      <c r="H7" s="43" t="s">
        <v>150</v>
      </c>
    </row>
    <row r="8" spans="1:12" ht="26.1" customHeight="1">
      <c r="A8" s="7"/>
      <c r="B8" s="212" t="s">
        <v>159</v>
      </c>
      <c r="F8" s="43" t="s">
        <v>154</v>
      </c>
      <c r="H8" s="43" t="s">
        <v>153</v>
      </c>
    </row>
    <row r="9" spans="1:12" ht="26.1" customHeight="1">
      <c r="A9" s="7"/>
      <c r="B9" s="212" t="s">
        <v>408</v>
      </c>
      <c r="F9" s="43" t="s">
        <v>158</v>
      </c>
      <c r="H9" s="43" t="s">
        <v>155</v>
      </c>
    </row>
    <row r="10" spans="1:12" ht="26.1" customHeight="1">
      <c r="A10" s="7"/>
      <c r="B10" s="212" t="s">
        <v>409</v>
      </c>
      <c r="F10" s="43" t="s">
        <v>160</v>
      </c>
      <c r="H10" s="43" t="s">
        <v>157</v>
      </c>
    </row>
    <row r="11" spans="1:12" ht="26.1" customHeight="1">
      <c r="A11" s="7"/>
      <c r="B11" s="212" t="s">
        <v>410</v>
      </c>
      <c r="F11" s="44" t="s">
        <v>161</v>
      </c>
      <c r="H11" s="43" t="s">
        <v>146</v>
      </c>
    </row>
    <row r="12" spans="1:12" ht="26.1" customHeight="1">
      <c r="A12" s="7"/>
      <c r="B12" s="212" t="s">
        <v>163</v>
      </c>
      <c r="H12" s="43" t="s">
        <v>149</v>
      </c>
    </row>
    <row r="13" spans="1:12" ht="26.1" customHeight="1">
      <c r="A13" s="7"/>
      <c r="B13" s="212" t="s">
        <v>411</v>
      </c>
      <c r="H13" s="43" t="s">
        <v>162</v>
      </c>
    </row>
    <row r="14" spans="1:12" ht="26.1" customHeight="1">
      <c r="A14" s="7"/>
      <c r="B14" s="213" t="s">
        <v>412</v>
      </c>
      <c r="H14" s="43" t="s">
        <v>165</v>
      </c>
    </row>
    <row r="15" spans="1:12" ht="26.1" customHeight="1">
      <c r="A15" s="7"/>
      <c r="B15" s="212" t="s">
        <v>413</v>
      </c>
      <c r="H15" s="43" t="s">
        <v>152</v>
      </c>
    </row>
    <row r="16" spans="1:12" ht="26.1" customHeight="1">
      <c r="A16" s="7"/>
      <c r="B16" s="214" t="s">
        <v>414</v>
      </c>
      <c r="H16" s="43" t="s">
        <v>401</v>
      </c>
    </row>
    <row r="17" spans="1:8" ht="26.1" customHeight="1">
      <c r="A17" s="7"/>
      <c r="B17" s="212" t="s">
        <v>415</v>
      </c>
      <c r="H17" s="43" t="s">
        <v>398</v>
      </c>
    </row>
    <row r="18" spans="1:8" ht="26.1" customHeight="1">
      <c r="A18" s="7"/>
      <c r="B18" s="212" t="s">
        <v>416</v>
      </c>
      <c r="H18" s="43" t="s">
        <v>166</v>
      </c>
    </row>
    <row r="19" spans="1:8" ht="26.1" customHeight="1">
      <c r="A19" s="7"/>
      <c r="B19" s="212" t="s">
        <v>417</v>
      </c>
      <c r="H19" s="43" t="s">
        <v>167</v>
      </c>
    </row>
    <row r="20" spans="1:8" ht="26.1" customHeight="1">
      <c r="A20" s="7"/>
      <c r="B20" s="212" t="s">
        <v>418</v>
      </c>
      <c r="H20" s="43" t="s">
        <v>168</v>
      </c>
    </row>
    <row r="21" spans="1:8" ht="26.1" customHeight="1">
      <c r="B21" s="212" t="s">
        <v>173</v>
      </c>
      <c r="H21" s="43" t="s">
        <v>154</v>
      </c>
    </row>
    <row r="22" spans="1:8" ht="26.1" customHeight="1">
      <c r="B22" s="212" t="s">
        <v>171</v>
      </c>
      <c r="H22" s="43" t="s">
        <v>156</v>
      </c>
    </row>
    <row r="23" spans="1:8" ht="26.1" customHeight="1">
      <c r="A23" s="8"/>
      <c r="B23" s="212" t="s">
        <v>174</v>
      </c>
      <c r="H23" s="43" t="s">
        <v>402</v>
      </c>
    </row>
    <row r="24" spans="1:8" ht="26.1" customHeight="1">
      <c r="A24" s="8"/>
      <c r="B24" s="212" t="s">
        <v>175</v>
      </c>
      <c r="H24" s="43" t="s">
        <v>394</v>
      </c>
    </row>
    <row r="25" spans="1:8" ht="26.1" customHeight="1">
      <c r="A25" s="8"/>
      <c r="B25" s="212" t="s">
        <v>170</v>
      </c>
      <c r="H25" s="43" t="s">
        <v>169</v>
      </c>
    </row>
    <row r="26" spans="1:8" ht="26.1" customHeight="1">
      <c r="A26" s="8"/>
      <c r="B26" s="212" t="s">
        <v>419</v>
      </c>
      <c r="H26" s="43" t="s">
        <v>393</v>
      </c>
    </row>
    <row r="27" spans="1:8" ht="26.1" customHeight="1">
      <c r="A27" s="8"/>
      <c r="B27" s="215" t="s">
        <v>176</v>
      </c>
      <c r="H27" s="43" t="s">
        <v>158</v>
      </c>
    </row>
    <row r="28" spans="1:8" ht="26.1" customHeight="1">
      <c r="A28" s="8"/>
      <c r="B28" s="212" t="s">
        <v>420</v>
      </c>
      <c r="H28" s="43" t="s">
        <v>172</v>
      </c>
    </row>
    <row r="29" spans="1:8" ht="26.1" customHeight="1">
      <c r="A29" s="8"/>
      <c r="B29" s="212" t="s">
        <v>421</v>
      </c>
      <c r="H29" s="43" t="s">
        <v>160</v>
      </c>
    </row>
    <row r="30" spans="1:8" ht="26.1" customHeight="1">
      <c r="A30" s="8"/>
      <c r="B30" s="212" t="s">
        <v>422</v>
      </c>
      <c r="H30" s="43" t="s">
        <v>161</v>
      </c>
    </row>
    <row r="31" spans="1:8" ht="26.1" customHeight="1">
      <c r="A31" s="8"/>
      <c r="B31" s="212" t="s">
        <v>423</v>
      </c>
      <c r="H31" s="44" t="s">
        <v>397</v>
      </c>
    </row>
    <row r="32" spans="1:8" ht="26.1" customHeight="1">
      <c r="A32" s="8"/>
      <c r="B32" s="212" t="s">
        <v>424</v>
      </c>
      <c r="H32" s="43" t="s">
        <v>164</v>
      </c>
    </row>
    <row r="33" spans="1:8" ht="26.1" customHeight="1">
      <c r="A33" s="8"/>
      <c r="B33" s="216" t="s">
        <v>425</v>
      </c>
      <c r="H33" s="44" t="s">
        <v>461</v>
      </c>
    </row>
    <row r="34" spans="1:8" ht="26.1" customHeight="1">
      <c r="A34" s="8"/>
      <c r="B34" s="212" t="s">
        <v>426</v>
      </c>
      <c r="H34" s="43" t="s">
        <v>403</v>
      </c>
    </row>
    <row r="35" spans="1:8" ht="26.1" customHeight="1">
      <c r="A35" s="8"/>
      <c r="B35" s="212" t="s">
        <v>427</v>
      </c>
      <c r="H35" s="43" t="s">
        <v>395</v>
      </c>
    </row>
    <row r="36" spans="1:8" ht="26.1" customHeight="1">
      <c r="B36" s="212" t="s">
        <v>428</v>
      </c>
      <c r="H36" s="239"/>
    </row>
    <row r="37" spans="1:8" ht="26.1" customHeight="1">
      <c r="B37" s="212" t="s">
        <v>429</v>
      </c>
    </row>
    <row r="38" spans="1:8" ht="26.1" customHeight="1">
      <c r="B38" s="214" t="s">
        <v>430</v>
      </c>
    </row>
    <row r="39" spans="1:8" ht="26.1" customHeight="1">
      <c r="B39" s="214" t="s">
        <v>431</v>
      </c>
    </row>
    <row r="40" spans="1:8" ht="26.1" customHeight="1">
      <c r="B40" s="216" t="s">
        <v>432</v>
      </c>
    </row>
    <row r="41" spans="1:8" ht="26.1" customHeight="1">
      <c r="B41" s="216" t="s">
        <v>433</v>
      </c>
    </row>
    <row r="42" spans="1:8" ht="26.1" customHeight="1">
      <c r="B42" s="216" t="s">
        <v>434</v>
      </c>
    </row>
    <row r="43" spans="1:8" ht="26.1" customHeight="1">
      <c r="B43" s="216" t="s">
        <v>435</v>
      </c>
    </row>
    <row r="44" spans="1:8" ht="26.1" customHeight="1">
      <c r="B44" s="212" t="s">
        <v>436</v>
      </c>
    </row>
    <row r="45" spans="1:8" ht="26.1" customHeight="1">
      <c r="B45" s="214" t="s">
        <v>437</v>
      </c>
    </row>
    <row r="46" spans="1:8" ht="26.1" customHeight="1">
      <c r="B46" s="216" t="s">
        <v>438</v>
      </c>
    </row>
    <row r="47" spans="1:8" ht="26.1" customHeight="1">
      <c r="B47" s="216" t="s">
        <v>439</v>
      </c>
    </row>
    <row r="48" spans="1:8" ht="26.1" customHeight="1">
      <c r="B48" s="217" t="s">
        <v>440</v>
      </c>
    </row>
    <row r="49" spans="2:2" ht="26.1" customHeight="1">
      <c r="B49" s="216" t="s">
        <v>441</v>
      </c>
    </row>
    <row r="50" spans="2:2" ht="26.1" customHeight="1">
      <c r="B50" s="218" t="s">
        <v>442</v>
      </c>
    </row>
    <row r="51" spans="2:2" ht="26.1" customHeight="1">
      <c r="B51" s="216" t="s">
        <v>443</v>
      </c>
    </row>
    <row r="52" spans="2:2" ht="26.1" customHeight="1">
      <c r="B52" s="216" t="s">
        <v>444</v>
      </c>
    </row>
    <row r="53" spans="2:2" ht="26.1" customHeight="1">
      <c r="B53" s="216" t="s">
        <v>445</v>
      </c>
    </row>
    <row r="54" spans="2:2" ht="26.1" customHeight="1">
      <c r="B54" s="216" t="s">
        <v>446</v>
      </c>
    </row>
    <row r="55" spans="2:2" ht="26.1" customHeight="1">
      <c r="B55" s="214" t="s">
        <v>447</v>
      </c>
    </row>
    <row r="56" spans="2:2" ht="26.1" customHeight="1">
      <c r="B56" s="214" t="s">
        <v>448</v>
      </c>
    </row>
    <row r="57" spans="2:2" ht="26.1" customHeight="1">
      <c r="B57" s="214" t="s">
        <v>449</v>
      </c>
    </row>
    <row r="58" spans="2:2" ht="26.1" customHeight="1">
      <c r="B58" s="214" t="s">
        <v>450</v>
      </c>
    </row>
    <row r="59" spans="2:2" ht="26.1" customHeight="1">
      <c r="B59" s="217" t="s">
        <v>451</v>
      </c>
    </row>
    <row r="60" spans="2:2" ht="26.1" customHeight="1">
      <c r="B60" s="214" t="s">
        <v>452</v>
      </c>
    </row>
    <row r="61" spans="2:2" ht="26.1" customHeight="1">
      <c r="B61" s="214" t="s">
        <v>453</v>
      </c>
    </row>
    <row r="62" spans="2:2" ht="26.1" customHeight="1">
      <c r="B62" s="217" t="s">
        <v>454</v>
      </c>
    </row>
    <row r="63" spans="2:2" ht="26.1" customHeight="1">
      <c r="B63" s="214" t="s">
        <v>455</v>
      </c>
    </row>
    <row r="64" spans="2:2" ht="26.1" customHeight="1">
      <c r="B64" s="218" t="s">
        <v>456</v>
      </c>
    </row>
    <row r="65" spans="2:2" ht="26.1" customHeight="1">
      <c r="B65" s="217" t="s">
        <v>457</v>
      </c>
    </row>
    <row r="66" spans="2:2" ht="26.1" customHeight="1">
      <c r="B66" s="216" t="s">
        <v>458</v>
      </c>
    </row>
    <row r="67" spans="2:2" ht="26.1" customHeight="1">
      <c r="B67" s="216" t="s">
        <v>459</v>
      </c>
    </row>
    <row r="68" spans="2:2" ht="26.1" customHeight="1">
      <c r="B68" s="216" t="s">
        <v>465</v>
      </c>
    </row>
    <row r="69" spans="2:2" ht="26.1" customHeight="1">
      <c r="B69" s="216" t="s">
        <v>460</v>
      </c>
    </row>
    <row r="70" spans="2:2" ht="26.1" customHeight="1"/>
    <row r="71" spans="2:2" ht="26.1" customHeight="1"/>
  </sheetData>
  <sheetProtection formatCells="0" formatColumns="0" formatRows="0" insertColumns="0" insertRows="0" insertHyperlinks="0" deleteColumns="0" deleteRows="0" selectLockedCells="1" sort="0" autoFilter="0" pivotTables="0"/>
  <conditionalFormatting sqref="D3:D6">
    <cfRule type="cellIs" dxfId="3" priority="1" operator="equal">
      <formula>"Diminuir"</formula>
    </cfRule>
    <cfRule type="cellIs" dxfId="2" priority="2" operator="equal">
      <formula>"Aumentar"</formula>
    </cfRule>
  </conditionalFormatting>
  <conditionalFormatting sqref="F3:F11 H3:H35">
    <cfRule type="cellIs" dxfId="1" priority="17" operator="equal">
      <formula>"Diminuir"</formula>
    </cfRule>
    <cfRule type="cellIs" dxfId="0" priority="18" operator="equal">
      <formula>"Aumentar"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4">
    <tablePart r:id="rId3"/>
    <tablePart r:id="rId4"/>
    <tablePart r:id="rId5"/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25E8-11EC-4B09-9714-784CCC7822FE}">
  <sheetPr codeName="Planilha11"/>
  <dimension ref="A2:XFB28"/>
  <sheetViews>
    <sheetView showGridLines="0" showZeros="0" topLeftCell="A2" zoomScale="80" zoomScaleNormal="80" workbookViewId="0">
      <selection activeCell="F16" sqref="F16"/>
    </sheetView>
  </sheetViews>
  <sheetFormatPr defaultColWidth="0" defaultRowHeight="14.4" zeroHeight="1"/>
  <cols>
    <col min="1" max="1" width="16.21875" style="24" customWidth="1"/>
    <col min="2" max="2" width="15" style="24" customWidth="1"/>
    <col min="3" max="3" width="47" style="24" bestFit="1" customWidth="1"/>
    <col min="4" max="4" width="8.21875" style="24" bestFit="1" customWidth="1"/>
    <col min="5" max="5" width="3.77734375" style="24" customWidth="1"/>
    <col min="6" max="6" width="9.5546875" style="24" bestFit="1" customWidth="1"/>
    <col min="7" max="7" width="42.5546875" style="24" bestFit="1" customWidth="1"/>
    <col min="8" max="8" width="9.77734375" style="24" customWidth="1"/>
    <col min="9" max="9" width="4" style="24" customWidth="1"/>
    <col min="10" max="10" width="15.44140625" style="24" customWidth="1"/>
    <col min="11" max="11" width="16.44140625" style="24" customWidth="1"/>
    <col min="12" max="12" width="3.77734375" style="24" customWidth="1"/>
    <col min="13" max="13" width="10" style="24" customWidth="1"/>
    <col min="14" max="14" width="18.21875" style="24" customWidth="1"/>
    <col min="15" max="15" width="16.77734375" style="24" bestFit="1" customWidth="1"/>
    <col min="16" max="16" width="42.21875" style="24" customWidth="1"/>
    <col min="17" max="17" width="18.44140625" style="24" customWidth="1"/>
    <col min="18" max="18" width="3.5546875" style="24" customWidth="1"/>
    <col min="19" max="19" width="16" style="24" customWidth="1"/>
    <col min="20" max="20" width="16.44140625" style="24" customWidth="1"/>
    <col min="21" max="21" width="4" style="24" customWidth="1"/>
    <col min="22" max="22" width="12.21875" style="24" customWidth="1"/>
    <col min="23" max="23" width="22.77734375" style="24" customWidth="1"/>
    <col min="24" max="24" width="22.77734375" style="24" hidden="1" customWidth="1"/>
    <col min="25" max="25" width="17.77734375" style="24" customWidth="1"/>
    <col min="26" max="26" width="50.21875" style="24" customWidth="1"/>
    <col min="27" max="27" width="27.77734375" style="24" customWidth="1"/>
    <col min="28" max="28" width="29.77734375" style="24" customWidth="1"/>
    <col min="29" max="29" width="8.77734375" style="24" customWidth="1"/>
    <col min="30" max="16382" width="8.77734375" style="24" hidden="1"/>
    <col min="16383" max="16384" width="17" style="24" hidden="1"/>
  </cols>
  <sheetData>
    <row r="2" spans="2:28" s="96" customFormat="1" ht="18.600000000000001" customHeight="1">
      <c r="B2" s="402" t="s">
        <v>82</v>
      </c>
      <c r="C2" s="402"/>
      <c r="D2" s="402"/>
      <c r="E2" s="94"/>
      <c r="F2" s="402" t="s">
        <v>177</v>
      </c>
      <c r="G2" s="402"/>
      <c r="H2" s="403"/>
      <c r="I2" s="95"/>
      <c r="J2" s="403" t="s">
        <v>178</v>
      </c>
      <c r="K2" s="405"/>
      <c r="M2" s="406" t="s">
        <v>179</v>
      </c>
      <c r="N2" s="407"/>
      <c r="O2" s="407"/>
      <c r="P2" s="407"/>
      <c r="Q2" s="407"/>
      <c r="S2" s="399" t="s">
        <v>180</v>
      </c>
      <c r="T2" s="400"/>
      <c r="V2" s="401" t="s">
        <v>181</v>
      </c>
      <c r="W2" s="401"/>
      <c r="X2" s="401"/>
      <c r="Y2" s="401"/>
      <c r="Z2" s="401"/>
      <c r="AA2" s="401"/>
      <c r="AB2" s="401"/>
    </row>
    <row r="3" spans="2:28" ht="34.049999999999997" customHeight="1" thickBot="1">
      <c r="B3" s="9" t="s">
        <v>182</v>
      </c>
      <c r="C3" s="9" t="s">
        <v>183</v>
      </c>
      <c r="D3" s="9" t="s">
        <v>184</v>
      </c>
      <c r="E3" s="90"/>
      <c r="F3" s="9" t="s">
        <v>182</v>
      </c>
      <c r="G3" s="9" t="s">
        <v>183</v>
      </c>
      <c r="H3" s="91" t="s">
        <v>184</v>
      </c>
      <c r="I3" s="92"/>
      <c r="J3" s="20" t="s">
        <v>182</v>
      </c>
      <c r="K3" s="9" t="s">
        <v>184</v>
      </c>
      <c r="L3" s="93"/>
      <c r="M3" s="135" t="s">
        <v>184</v>
      </c>
      <c r="N3" s="135" t="s">
        <v>185</v>
      </c>
      <c r="O3" s="135" t="s">
        <v>186</v>
      </c>
      <c r="P3" s="135" t="s">
        <v>183</v>
      </c>
      <c r="Q3" s="135" t="s">
        <v>187</v>
      </c>
      <c r="R3" s="93"/>
      <c r="S3" s="10" t="s">
        <v>182</v>
      </c>
      <c r="T3" s="10" t="s">
        <v>184</v>
      </c>
      <c r="V3" s="62" t="s">
        <v>188</v>
      </c>
      <c r="W3" s="62" t="s">
        <v>189</v>
      </c>
      <c r="X3" s="62"/>
      <c r="Y3" s="62" t="s">
        <v>190</v>
      </c>
      <c r="Z3" s="62" t="s">
        <v>191</v>
      </c>
      <c r="AA3" s="115" t="s">
        <v>192</v>
      </c>
      <c r="AB3" s="62" t="s">
        <v>95</v>
      </c>
    </row>
    <row r="4" spans="2:28" ht="84">
      <c r="B4" s="11" t="s">
        <v>113</v>
      </c>
      <c r="C4" s="130" t="s">
        <v>193</v>
      </c>
      <c r="D4" s="11">
        <v>1</v>
      </c>
      <c r="E4" s="90"/>
      <c r="F4" s="11" t="s">
        <v>112</v>
      </c>
      <c r="G4" s="130" t="s">
        <v>194</v>
      </c>
      <c r="H4" s="11">
        <v>1</v>
      </c>
      <c r="I4" s="21"/>
      <c r="J4" s="22" t="s">
        <v>112</v>
      </c>
      <c r="K4" s="12" t="s">
        <v>353</v>
      </c>
      <c r="L4" s="93"/>
      <c r="M4" s="13">
        <v>5</v>
      </c>
      <c r="N4" s="6" t="s">
        <v>195</v>
      </c>
      <c r="O4" s="6" t="s">
        <v>196</v>
      </c>
      <c r="P4" s="6" t="s">
        <v>197</v>
      </c>
      <c r="Q4" s="88" t="s">
        <v>198</v>
      </c>
      <c r="R4" s="93"/>
      <c r="S4" s="11" t="s">
        <v>112</v>
      </c>
      <c r="T4" s="12" t="s">
        <v>353</v>
      </c>
      <c r="V4" s="63" t="s">
        <v>112</v>
      </c>
      <c r="W4" s="48" t="str">
        <f>$N$8</f>
        <v>Inexistente</v>
      </c>
      <c r="X4" s="48" t="str">
        <f>V4&amp;W4</f>
        <v>IrrelevanteInexistente</v>
      </c>
      <c r="Y4" s="48" t="s">
        <v>199</v>
      </c>
      <c r="Z4" s="48" t="s">
        <v>200</v>
      </c>
      <c r="AA4" s="47" t="s">
        <v>201</v>
      </c>
      <c r="AB4" s="49" t="s">
        <v>202</v>
      </c>
    </row>
    <row r="5" spans="2:28" ht="57.6" customHeight="1">
      <c r="B5" s="11" t="s">
        <v>114</v>
      </c>
      <c r="C5" s="130" t="s">
        <v>203</v>
      </c>
      <c r="D5" s="11">
        <v>2</v>
      </c>
      <c r="E5" s="90"/>
      <c r="F5" s="11" t="s">
        <v>111</v>
      </c>
      <c r="G5" s="130" t="s">
        <v>204</v>
      </c>
      <c r="H5" s="11">
        <v>2</v>
      </c>
      <c r="I5" s="21"/>
      <c r="J5" s="22" t="s">
        <v>111</v>
      </c>
      <c r="K5" s="12" t="s">
        <v>354</v>
      </c>
      <c r="L5" s="93"/>
      <c r="M5" s="13">
        <v>4</v>
      </c>
      <c r="N5" s="6" t="s">
        <v>144</v>
      </c>
      <c r="O5" s="6" t="s">
        <v>205</v>
      </c>
      <c r="P5" s="6" t="s">
        <v>206</v>
      </c>
      <c r="Q5" s="88" t="s">
        <v>198</v>
      </c>
      <c r="R5" s="93"/>
      <c r="S5" s="11" t="s">
        <v>111</v>
      </c>
      <c r="T5" s="12" t="s">
        <v>354</v>
      </c>
      <c r="V5" s="64" t="s">
        <v>112</v>
      </c>
      <c r="W5" s="46" t="str">
        <f>$N$7</f>
        <v>Fraco</v>
      </c>
      <c r="X5" s="46" t="str">
        <f t="shared" ref="X5:X8" si="0">V5&amp;W5</f>
        <v>IrrelevanteFraco</v>
      </c>
      <c r="Y5" s="46" t="s">
        <v>199</v>
      </c>
      <c r="Z5" s="46" t="s">
        <v>200</v>
      </c>
      <c r="AA5" s="46" t="s">
        <v>201</v>
      </c>
      <c r="AB5" s="50" t="s">
        <v>202</v>
      </c>
    </row>
    <row r="6" spans="2:28" ht="57.6" customHeight="1">
      <c r="B6" s="11" t="s">
        <v>115</v>
      </c>
      <c r="C6" s="130" t="s">
        <v>207</v>
      </c>
      <c r="D6" s="11">
        <v>3</v>
      </c>
      <c r="E6" s="90"/>
      <c r="F6" s="11" t="s">
        <v>110</v>
      </c>
      <c r="G6" s="130" t="s">
        <v>208</v>
      </c>
      <c r="H6" s="11">
        <v>3</v>
      </c>
      <c r="I6" s="21"/>
      <c r="J6" s="22" t="s">
        <v>110</v>
      </c>
      <c r="K6" s="12" t="s">
        <v>355</v>
      </c>
      <c r="L6" s="93"/>
      <c r="M6" s="13">
        <v>3</v>
      </c>
      <c r="N6" s="6" t="s">
        <v>209</v>
      </c>
      <c r="O6" s="6" t="s">
        <v>210</v>
      </c>
      <c r="P6" s="6" t="s">
        <v>211</v>
      </c>
      <c r="Q6" s="6" t="s">
        <v>212</v>
      </c>
      <c r="R6" s="93"/>
      <c r="S6" s="11" t="s">
        <v>110</v>
      </c>
      <c r="T6" s="12" t="s">
        <v>355</v>
      </c>
      <c r="V6" s="64" t="s">
        <v>112</v>
      </c>
      <c r="W6" s="46" t="str">
        <f>$N$6</f>
        <v>Mediano</v>
      </c>
      <c r="X6" s="46" t="str">
        <f t="shared" si="0"/>
        <v>IrrelevanteMediano</v>
      </c>
      <c r="Y6" s="46" t="s">
        <v>199</v>
      </c>
      <c r="Z6" s="46" t="s">
        <v>200</v>
      </c>
      <c r="AA6" s="46" t="s">
        <v>201</v>
      </c>
      <c r="AB6" s="50" t="s">
        <v>202</v>
      </c>
    </row>
    <row r="7" spans="2:28" ht="48">
      <c r="B7" s="11" t="s">
        <v>116</v>
      </c>
      <c r="C7" s="130" t="s">
        <v>213</v>
      </c>
      <c r="D7" s="11">
        <v>4</v>
      </c>
      <c r="E7" s="90"/>
      <c r="F7" s="11" t="s">
        <v>109</v>
      </c>
      <c r="G7" s="130" t="s">
        <v>214</v>
      </c>
      <c r="H7" s="11">
        <v>4</v>
      </c>
      <c r="I7" s="21"/>
      <c r="J7" s="22" t="s">
        <v>109</v>
      </c>
      <c r="K7" s="12" t="s">
        <v>356</v>
      </c>
      <c r="L7" s="93"/>
      <c r="M7" s="13">
        <v>2</v>
      </c>
      <c r="N7" s="6" t="s">
        <v>215</v>
      </c>
      <c r="O7" s="6" t="s">
        <v>216</v>
      </c>
      <c r="P7" s="6" t="s">
        <v>217</v>
      </c>
      <c r="Q7" s="46" t="s">
        <v>218</v>
      </c>
      <c r="R7" s="93"/>
      <c r="S7" s="11" t="s">
        <v>109</v>
      </c>
      <c r="T7" s="12" t="s">
        <v>356</v>
      </c>
      <c r="V7" s="64" t="s">
        <v>112</v>
      </c>
      <c r="W7" s="46" t="str">
        <f>$N$5</f>
        <v>Satisfatório</v>
      </c>
      <c r="X7" s="46" t="str">
        <f t="shared" si="0"/>
        <v>IrrelevanteSatisfatório</v>
      </c>
      <c r="Y7" s="46" t="s">
        <v>199</v>
      </c>
      <c r="Z7" s="46" t="s">
        <v>200</v>
      </c>
      <c r="AA7" s="46" t="s">
        <v>201</v>
      </c>
      <c r="AB7" s="50" t="s">
        <v>202</v>
      </c>
    </row>
    <row r="8" spans="2:28" ht="36.6" thickBot="1">
      <c r="B8" s="11" t="s">
        <v>117</v>
      </c>
      <c r="C8" s="130" t="s">
        <v>219</v>
      </c>
      <c r="D8" s="11">
        <v>5</v>
      </c>
      <c r="E8" s="90"/>
      <c r="F8" s="11" t="s">
        <v>108</v>
      </c>
      <c r="G8" s="130" t="s">
        <v>220</v>
      </c>
      <c r="H8" s="11">
        <v>5</v>
      </c>
      <c r="I8" s="21"/>
      <c r="J8" s="22" t="s">
        <v>108</v>
      </c>
      <c r="K8" s="12" t="s">
        <v>357</v>
      </c>
      <c r="L8" s="93"/>
      <c r="M8" s="13">
        <v>1</v>
      </c>
      <c r="N8" s="6" t="s">
        <v>221</v>
      </c>
      <c r="O8" s="6" t="s">
        <v>222</v>
      </c>
      <c r="P8" s="6" t="s">
        <v>223</v>
      </c>
      <c r="Q8" s="88" t="s">
        <v>218</v>
      </c>
      <c r="R8" s="93"/>
      <c r="S8" s="11" t="s">
        <v>108</v>
      </c>
      <c r="T8" s="12" t="s">
        <v>357</v>
      </c>
      <c r="V8" s="65" t="s">
        <v>112</v>
      </c>
      <c r="W8" s="51" t="str">
        <f>$N$4</f>
        <v>Forte</v>
      </c>
      <c r="X8" s="51" t="str">
        <f t="shared" si="0"/>
        <v>IrrelevanteForte</v>
      </c>
      <c r="Y8" s="51" t="s">
        <v>199</v>
      </c>
      <c r="Z8" s="51" t="s">
        <v>200</v>
      </c>
      <c r="AA8" s="51" t="s">
        <v>201</v>
      </c>
      <c r="AB8" s="52" t="s">
        <v>202</v>
      </c>
    </row>
    <row r="9" spans="2:28" ht="48">
      <c r="B9" s="134" t="s">
        <v>224</v>
      </c>
      <c r="C9" s="90"/>
      <c r="D9" s="90"/>
      <c r="E9" s="90"/>
      <c r="F9" s="131"/>
      <c r="G9" s="90"/>
      <c r="H9" s="90"/>
      <c r="I9" s="90"/>
      <c r="J9" s="93"/>
      <c r="K9" s="93"/>
      <c r="L9" s="93"/>
      <c r="M9" s="404" t="s">
        <v>225</v>
      </c>
      <c r="N9" s="404"/>
      <c r="O9" s="404"/>
      <c r="P9" s="404"/>
      <c r="Q9" s="404"/>
      <c r="R9" s="93"/>
      <c r="S9" s="93"/>
      <c r="T9" s="93"/>
      <c r="V9" s="66" t="s">
        <v>111</v>
      </c>
      <c r="W9" s="48" t="str">
        <f>$N$8</f>
        <v>Inexistente</v>
      </c>
      <c r="X9" s="47" t="str">
        <f>V9&amp;W9</f>
        <v>BaixoInexistente</v>
      </c>
      <c r="Y9" s="47" t="s">
        <v>111</v>
      </c>
      <c r="Z9" s="47" t="s">
        <v>226</v>
      </c>
      <c r="AA9" s="47" t="s">
        <v>201</v>
      </c>
      <c r="AB9" s="56" t="s">
        <v>227</v>
      </c>
    </row>
    <row r="10" spans="2:28" ht="36.6" customHeight="1">
      <c r="B10" s="134" t="s">
        <v>228</v>
      </c>
      <c r="C10" s="90"/>
      <c r="D10" s="90"/>
      <c r="E10" s="90"/>
      <c r="F10" s="131"/>
      <c r="G10" s="90"/>
      <c r="H10" s="90"/>
      <c r="I10" s="90"/>
      <c r="J10" s="93"/>
      <c r="K10" s="93"/>
      <c r="L10" s="93"/>
      <c r="Q10" s="149"/>
      <c r="R10" s="93"/>
      <c r="S10" s="93"/>
      <c r="T10" s="93"/>
      <c r="V10" s="54" t="s">
        <v>111</v>
      </c>
      <c r="W10" s="46" t="str">
        <f>$N$7</f>
        <v>Fraco</v>
      </c>
      <c r="X10" s="46" t="str">
        <f t="shared" ref="X10:X28" si="1">V10&amp;W10</f>
        <v>BaixoFraco</v>
      </c>
      <c r="Y10" s="46" t="s">
        <v>111</v>
      </c>
      <c r="Z10" s="46" t="s">
        <v>226</v>
      </c>
      <c r="AA10" s="46" t="s">
        <v>201</v>
      </c>
      <c r="AB10" s="50" t="s">
        <v>227</v>
      </c>
    </row>
    <row r="11" spans="2:28" ht="48">
      <c r="V11" s="54" t="s">
        <v>111</v>
      </c>
      <c r="W11" s="46" t="str">
        <f>$N$6</f>
        <v>Mediano</v>
      </c>
      <c r="X11" s="46" t="str">
        <f t="shared" si="1"/>
        <v>BaixoMediano</v>
      </c>
      <c r="Y11" s="46" t="s">
        <v>111</v>
      </c>
      <c r="Z11" s="46" t="s">
        <v>226</v>
      </c>
      <c r="AA11" s="46" t="s">
        <v>201</v>
      </c>
      <c r="AB11" s="50" t="s">
        <v>227</v>
      </c>
    </row>
    <row r="12" spans="2:28" ht="48">
      <c r="V12" s="54" t="s">
        <v>111</v>
      </c>
      <c r="W12" s="46" t="str">
        <f>$N$5</f>
        <v>Satisfatório</v>
      </c>
      <c r="X12" s="46" t="str">
        <f t="shared" si="1"/>
        <v>BaixoSatisfatório</v>
      </c>
      <c r="Y12" s="46" t="s">
        <v>111</v>
      </c>
      <c r="Z12" s="46" t="s">
        <v>226</v>
      </c>
      <c r="AA12" s="46" t="s">
        <v>201</v>
      </c>
      <c r="AB12" s="50" t="s">
        <v>227</v>
      </c>
    </row>
    <row r="13" spans="2:28" ht="48.6" thickBot="1">
      <c r="B13" s="132"/>
      <c r="V13" s="67" t="s">
        <v>111</v>
      </c>
      <c r="W13" s="51" t="str">
        <f>$N$4</f>
        <v>Forte</v>
      </c>
      <c r="X13" s="57" t="str">
        <f t="shared" si="1"/>
        <v>BaixoForte</v>
      </c>
      <c r="Y13" s="57" t="s">
        <v>111</v>
      </c>
      <c r="Z13" s="57" t="s">
        <v>226</v>
      </c>
      <c r="AA13" s="57" t="s">
        <v>201</v>
      </c>
      <c r="AB13" s="58" t="s">
        <v>227</v>
      </c>
    </row>
    <row r="14" spans="2:28" ht="33.6" customHeight="1">
      <c r="B14" s="132"/>
      <c r="V14" s="53" t="s">
        <v>110</v>
      </c>
      <c r="W14" s="48" t="str">
        <f>$N$8</f>
        <v>Inexistente</v>
      </c>
      <c r="X14" s="48" t="str">
        <f t="shared" si="1"/>
        <v>ModeradoInexistente</v>
      </c>
      <c r="Y14" s="48" t="s">
        <v>229</v>
      </c>
      <c r="Z14" s="48" t="s">
        <v>230</v>
      </c>
      <c r="AA14" s="87" t="s">
        <v>218</v>
      </c>
      <c r="AB14" s="49" t="s">
        <v>231</v>
      </c>
    </row>
    <row r="15" spans="2:28" ht="33.6" customHeight="1">
      <c r="B15" s="132"/>
      <c r="V15" s="54" t="s">
        <v>110</v>
      </c>
      <c r="W15" s="46" t="str">
        <f>$N$7</f>
        <v>Fraco</v>
      </c>
      <c r="X15" s="46" t="str">
        <f t="shared" si="1"/>
        <v>ModeradoFraco</v>
      </c>
      <c r="Y15" s="46" t="s">
        <v>232</v>
      </c>
      <c r="Z15" s="46" t="s">
        <v>233</v>
      </c>
      <c r="AA15" s="154" t="s">
        <v>234</v>
      </c>
      <c r="AB15" s="50" t="s">
        <v>235</v>
      </c>
    </row>
    <row r="16" spans="2:28" ht="33.6" customHeight="1">
      <c r="B16" s="132"/>
      <c r="V16" s="54" t="s">
        <v>110</v>
      </c>
      <c r="W16" s="46" t="str">
        <f>$N$6</f>
        <v>Mediano</v>
      </c>
      <c r="X16" s="46" t="str">
        <f t="shared" si="1"/>
        <v>ModeradoMediano</v>
      </c>
      <c r="Y16" s="46" t="s">
        <v>232</v>
      </c>
      <c r="Z16" s="46" t="s">
        <v>236</v>
      </c>
      <c r="AA16" s="88" t="s">
        <v>212</v>
      </c>
      <c r="AB16" s="50" t="s">
        <v>235</v>
      </c>
    </row>
    <row r="17" spans="22:28" ht="33.6" customHeight="1">
      <c r="V17" s="54" t="s">
        <v>110</v>
      </c>
      <c r="W17" s="46" t="str">
        <f>$N$5</f>
        <v>Satisfatório</v>
      </c>
      <c r="X17" s="46" t="str">
        <f t="shared" si="1"/>
        <v>ModeradoSatisfatório</v>
      </c>
      <c r="Y17" s="46" t="s">
        <v>232</v>
      </c>
      <c r="Z17" s="46" t="s">
        <v>237</v>
      </c>
      <c r="AA17" s="88" t="s">
        <v>212</v>
      </c>
      <c r="AB17" s="50" t="s">
        <v>238</v>
      </c>
    </row>
    <row r="18" spans="22:28" ht="33.6" customHeight="1" thickBot="1">
      <c r="V18" s="67" t="s">
        <v>110</v>
      </c>
      <c r="W18" s="51" t="str">
        <f>$N$4</f>
        <v>Forte</v>
      </c>
      <c r="X18" s="57" t="str">
        <f t="shared" si="1"/>
        <v>ModeradoForte</v>
      </c>
      <c r="Y18" s="57" t="s">
        <v>111</v>
      </c>
      <c r="Z18" s="57" t="s">
        <v>239</v>
      </c>
      <c r="AA18" s="88" t="s">
        <v>212</v>
      </c>
      <c r="AB18" s="58" t="s">
        <v>238</v>
      </c>
    </row>
    <row r="19" spans="22:28" ht="33.6" customHeight="1">
      <c r="V19" s="53" t="s">
        <v>109</v>
      </c>
      <c r="W19" s="48" t="str">
        <f>$N$8</f>
        <v>Inexistente</v>
      </c>
      <c r="X19" s="48" t="str">
        <f t="shared" si="1"/>
        <v>AltoInexistente</v>
      </c>
      <c r="Y19" s="48" t="s">
        <v>109</v>
      </c>
      <c r="Z19" s="48" t="s">
        <v>240</v>
      </c>
      <c r="AA19" s="87" t="s">
        <v>218</v>
      </c>
      <c r="AB19" s="49" t="s">
        <v>241</v>
      </c>
    </row>
    <row r="20" spans="22:28" ht="33.6" customHeight="1">
      <c r="V20" s="54" t="s">
        <v>109</v>
      </c>
      <c r="W20" s="46" t="str">
        <f>$N$7</f>
        <v>Fraco</v>
      </c>
      <c r="X20" s="46" t="str">
        <f t="shared" si="1"/>
        <v>AltoFraco</v>
      </c>
      <c r="Y20" s="46" t="s">
        <v>242</v>
      </c>
      <c r="Z20" s="46" t="s">
        <v>233</v>
      </c>
      <c r="AA20" s="154" t="s">
        <v>234</v>
      </c>
      <c r="AB20" s="50" t="s">
        <v>231</v>
      </c>
    </row>
    <row r="21" spans="22:28" ht="33.6" customHeight="1">
      <c r="V21" s="54" t="s">
        <v>109</v>
      </c>
      <c r="W21" s="46" t="str">
        <f>$N$6</f>
        <v>Mediano</v>
      </c>
      <c r="X21" s="46" t="str">
        <f t="shared" si="1"/>
        <v>AltoMediano</v>
      </c>
      <c r="Y21" s="46" t="s">
        <v>242</v>
      </c>
      <c r="Z21" s="46" t="s">
        <v>243</v>
      </c>
      <c r="AA21" s="88" t="s">
        <v>212</v>
      </c>
      <c r="AB21" s="50" t="s">
        <v>235</v>
      </c>
    </row>
    <row r="22" spans="22:28" ht="33.6" customHeight="1">
      <c r="V22" s="54" t="s">
        <v>109</v>
      </c>
      <c r="W22" s="46" t="str">
        <f>$N$5</f>
        <v>Satisfatório</v>
      </c>
      <c r="X22" s="46" t="str">
        <f t="shared" si="1"/>
        <v>AltoSatisfatório</v>
      </c>
      <c r="Y22" s="46" t="s">
        <v>229</v>
      </c>
      <c r="Z22" s="46" t="s">
        <v>237</v>
      </c>
      <c r="AA22" s="88" t="s">
        <v>212</v>
      </c>
      <c r="AB22" s="50" t="s">
        <v>238</v>
      </c>
    </row>
    <row r="23" spans="22:28" ht="33.6" customHeight="1" thickBot="1">
      <c r="V23" s="67" t="s">
        <v>109</v>
      </c>
      <c r="W23" s="51" t="str">
        <f>$N$4</f>
        <v>Forte</v>
      </c>
      <c r="X23" s="57" t="str">
        <f t="shared" si="1"/>
        <v>AltoForte</v>
      </c>
      <c r="Y23" s="57" t="s">
        <v>232</v>
      </c>
      <c r="Z23" s="57" t="s">
        <v>239</v>
      </c>
      <c r="AA23" s="88" t="s">
        <v>212</v>
      </c>
      <c r="AB23" s="58" t="s">
        <v>238</v>
      </c>
    </row>
    <row r="24" spans="22:28" ht="33.6" customHeight="1">
      <c r="V24" s="53" t="s">
        <v>108</v>
      </c>
      <c r="W24" s="48" t="str">
        <f>$N$8</f>
        <v>Inexistente</v>
      </c>
      <c r="X24" s="48" t="str">
        <f t="shared" si="1"/>
        <v>CríticoInexistente</v>
      </c>
      <c r="Y24" s="48" t="s">
        <v>244</v>
      </c>
      <c r="Z24" s="48" t="s">
        <v>240</v>
      </c>
      <c r="AA24" s="87" t="s">
        <v>218</v>
      </c>
      <c r="AB24" s="49" t="s">
        <v>241</v>
      </c>
    </row>
    <row r="25" spans="22:28" ht="24">
      <c r="V25" s="54" t="s">
        <v>108</v>
      </c>
      <c r="W25" s="46" t="str">
        <f>$N$7</f>
        <v>Fraco</v>
      </c>
      <c r="X25" s="46" t="str">
        <f t="shared" si="1"/>
        <v>CríticoFraco</v>
      </c>
      <c r="Y25" s="46" t="s">
        <v>245</v>
      </c>
      <c r="Z25" s="46" t="s">
        <v>233</v>
      </c>
      <c r="AA25" s="154" t="s">
        <v>234</v>
      </c>
      <c r="AB25" s="50" t="s">
        <v>241</v>
      </c>
    </row>
    <row r="26" spans="22:28" ht="48">
      <c r="V26" s="54" t="s">
        <v>108</v>
      </c>
      <c r="W26" s="46" t="str">
        <f>$N$6</f>
        <v>Mediano</v>
      </c>
      <c r="X26" s="46" t="str">
        <f t="shared" si="1"/>
        <v>CríticoMediano</v>
      </c>
      <c r="Y26" s="46" t="s">
        <v>109</v>
      </c>
      <c r="Z26" s="46" t="s">
        <v>243</v>
      </c>
      <c r="AA26" s="88" t="s">
        <v>212</v>
      </c>
      <c r="AB26" s="50" t="s">
        <v>241</v>
      </c>
    </row>
    <row r="27" spans="22:28" ht="36">
      <c r="V27" s="54" t="s">
        <v>108</v>
      </c>
      <c r="W27" s="46" t="str">
        <f>$N$5</f>
        <v>Satisfatório</v>
      </c>
      <c r="X27" s="46" t="str">
        <f t="shared" si="1"/>
        <v>CríticoSatisfatório</v>
      </c>
      <c r="Y27" s="46" t="s">
        <v>242</v>
      </c>
      <c r="Z27" s="46" t="s">
        <v>237</v>
      </c>
      <c r="AA27" s="88" t="s">
        <v>212</v>
      </c>
      <c r="AB27" s="50" t="s">
        <v>231</v>
      </c>
    </row>
    <row r="28" spans="22:28" ht="36.6" thickBot="1">
      <c r="V28" s="55" t="s">
        <v>108</v>
      </c>
      <c r="W28" s="51" t="str">
        <f>$N$4</f>
        <v>Forte</v>
      </c>
      <c r="X28" s="51" t="str">
        <f t="shared" si="1"/>
        <v>CríticoForte</v>
      </c>
      <c r="Y28" s="51" t="s">
        <v>229</v>
      </c>
      <c r="Z28" s="89" t="s">
        <v>239</v>
      </c>
      <c r="AA28" s="89" t="s">
        <v>212</v>
      </c>
      <c r="AB28" s="52" t="s">
        <v>231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7">
    <mergeCell ref="S2:T2"/>
    <mergeCell ref="V2:AB2"/>
    <mergeCell ref="B2:D2"/>
    <mergeCell ref="F2:H2"/>
    <mergeCell ref="M9:Q9"/>
    <mergeCell ref="J2:K2"/>
    <mergeCell ref="M2:Q2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F686A-0FD6-424D-93D5-88B2FBFAE783}">
  <sheetPr codeName="Planilha14"/>
  <dimension ref="A1:R29"/>
  <sheetViews>
    <sheetView showGridLines="0" showZeros="0" topLeftCell="A16" workbookViewId="0">
      <selection activeCell="C22" sqref="C22"/>
    </sheetView>
  </sheetViews>
  <sheetFormatPr defaultColWidth="0" defaultRowHeight="0" customHeight="1" zeroHeight="1"/>
  <cols>
    <col min="1" max="1" width="3" customWidth="1"/>
    <col min="2" max="2" width="8.77734375" customWidth="1"/>
    <col min="3" max="3" width="51.33203125" style="68" bestFit="1" customWidth="1"/>
    <col min="4" max="4" width="121.21875" customWidth="1"/>
    <col min="5" max="5" width="5" customWidth="1"/>
    <col min="6" max="18" width="0" hidden="1" customWidth="1"/>
    <col min="19" max="16384" width="27.5546875" hidden="1"/>
  </cols>
  <sheetData>
    <row r="1" spans="3:16" ht="43.5" customHeight="1">
      <c r="C1" s="408" t="s">
        <v>246</v>
      </c>
      <c r="D1" s="409"/>
    </row>
    <row r="2" spans="3:16" ht="62.55" customHeight="1">
      <c r="C2" s="276" t="s">
        <v>7</v>
      </c>
      <c r="D2" s="74" t="s">
        <v>247</v>
      </c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</row>
    <row r="3" spans="3:16" ht="62.55" customHeight="1">
      <c r="C3" s="276" t="s">
        <v>248</v>
      </c>
      <c r="D3" s="74" t="s">
        <v>249</v>
      </c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3:16" ht="62.55" customHeight="1">
      <c r="C4" s="276" t="s">
        <v>250</v>
      </c>
      <c r="D4" s="74" t="s">
        <v>251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</row>
    <row r="5" spans="3:16" ht="62.55" customHeight="1">
      <c r="C5" s="276" t="s">
        <v>13</v>
      </c>
      <c r="D5" s="74" t="s">
        <v>14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</row>
    <row r="6" spans="3:16" ht="62.55" customHeight="1">
      <c r="C6" s="276" t="s">
        <v>467</v>
      </c>
      <c r="D6" s="74" t="s">
        <v>476</v>
      </c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</row>
    <row r="7" spans="3:16" ht="62.55" customHeight="1">
      <c r="C7" s="276" t="s">
        <v>127</v>
      </c>
      <c r="D7" s="74" t="s">
        <v>252</v>
      </c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</row>
    <row r="8" spans="3:16" ht="62.55" customHeight="1">
      <c r="C8" s="276" t="s">
        <v>18</v>
      </c>
      <c r="D8" s="74" t="s">
        <v>481</v>
      </c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</row>
    <row r="9" spans="3:16" ht="62.55" customHeight="1">
      <c r="C9" s="276" t="s">
        <v>19</v>
      </c>
      <c r="D9" s="74" t="s">
        <v>253</v>
      </c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</row>
    <row r="10" spans="3:16" ht="62.55" customHeight="1">
      <c r="C10" s="276" t="s">
        <v>20</v>
      </c>
      <c r="D10" s="74" t="s">
        <v>254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</row>
    <row r="11" spans="3:16" ht="62.55" customHeight="1">
      <c r="C11" s="276" t="s">
        <v>21</v>
      </c>
      <c r="D11" s="74" t="s">
        <v>255</v>
      </c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</row>
    <row r="12" spans="3:16" ht="62.55" customHeight="1">
      <c r="C12" s="276" t="s">
        <v>82</v>
      </c>
      <c r="D12" s="74" t="s">
        <v>482</v>
      </c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</row>
    <row r="13" spans="3:16" ht="62.55" customHeight="1">
      <c r="C13" s="276" t="s">
        <v>84</v>
      </c>
      <c r="D13" s="74" t="s">
        <v>256</v>
      </c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</row>
    <row r="14" spans="3:16" ht="62.55" customHeight="1">
      <c r="C14" s="276" t="s">
        <v>350</v>
      </c>
      <c r="D14" s="74" t="s">
        <v>257</v>
      </c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</row>
    <row r="15" spans="3:16" ht="62.55" customHeight="1">
      <c r="C15" s="276" t="s">
        <v>351</v>
      </c>
      <c r="D15" s="74" t="s">
        <v>352</v>
      </c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</row>
    <row r="16" spans="3:16" ht="62.55" customHeight="1">
      <c r="C16" s="276" t="s">
        <v>89</v>
      </c>
      <c r="D16" s="74" t="s">
        <v>262</v>
      </c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</row>
    <row r="17" spans="3:16" ht="62.55" customHeight="1">
      <c r="C17" s="276" t="s">
        <v>90</v>
      </c>
      <c r="D17" s="74" t="s">
        <v>265</v>
      </c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</row>
    <row r="18" spans="3:16" ht="62.55" customHeight="1">
      <c r="C18" s="276" t="s">
        <v>190</v>
      </c>
      <c r="D18" s="74" t="s">
        <v>258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</row>
    <row r="19" spans="3:16" ht="62.55" customHeight="1">
      <c r="C19" s="276" t="s">
        <v>93</v>
      </c>
      <c r="D19" s="74" t="s">
        <v>477</v>
      </c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</row>
    <row r="20" spans="3:16" ht="62.55" customHeight="1">
      <c r="C20" s="276" t="s">
        <v>192</v>
      </c>
      <c r="D20" s="74" t="s">
        <v>259</v>
      </c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</row>
    <row r="21" spans="3:16" ht="62.55" customHeight="1">
      <c r="C21" s="276" t="s">
        <v>260</v>
      </c>
      <c r="D21" s="74" t="s">
        <v>261</v>
      </c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</row>
    <row r="22" spans="3:16" ht="62.55" customHeight="1">
      <c r="C22" s="279" t="s">
        <v>392</v>
      </c>
      <c r="D22" s="74" t="s">
        <v>478</v>
      </c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</row>
    <row r="23" spans="3:16" ht="62.55" customHeight="1">
      <c r="C23" s="276" t="s">
        <v>15</v>
      </c>
      <c r="D23" s="74" t="s">
        <v>252</v>
      </c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</row>
    <row r="24" spans="3:16" ht="62.55" customHeight="1">
      <c r="C24" s="276" t="s">
        <v>121</v>
      </c>
      <c r="D24" s="74" t="s">
        <v>264</v>
      </c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</row>
    <row r="25" spans="3:16" ht="62.55" customHeight="1">
      <c r="C25" s="276" t="s">
        <v>122</v>
      </c>
      <c r="D25" s="74" t="s">
        <v>263</v>
      </c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</row>
    <row r="26" spans="3:16" ht="62.55" customHeight="1">
      <c r="C26" s="277" t="s">
        <v>123</v>
      </c>
      <c r="D26" s="275" t="s">
        <v>479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</row>
    <row r="27" spans="3:16" ht="62.55" customHeight="1" thickBot="1">
      <c r="C27" s="278" t="s">
        <v>471</v>
      </c>
      <c r="D27" s="116" t="s">
        <v>480</v>
      </c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</row>
    <row r="28" spans="3:16" ht="43.5" customHeight="1">
      <c r="C28" s="42"/>
    </row>
    <row r="29" spans="3:16" ht="43.5" customHeight="1"/>
  </sheetData>
  <sheetProtection formatCells="0" formatColumns="0" formatRows="0" insertColumns="0" insertRows="0" insertHyperlinks="0" deleteColumns="0" deleteRows="0" selectLockedCells="1" sort="0" autoFilter="0" pivotTables="0"/>
  <mergeCells count="1">
    <mergeCell ref="C1:D1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A7EA-B75F-4A62-BAA1-B6E89555A1BE}">
  <sheetPr codeName="Planilha12"/>
  <dimension ref="A1:AO28"/>
  <sheetViews>
    <sheetView showGridLines="0" showZeros="0" topLeftCell="D1" workbookViewId="0">
      <selection activeCell="K3" sqref="K3"/>
    </sheetView>
  </sheetViews>
  <sheetFormatPr defaultColWidth="0" defaultRowHeight="14.4"/>
  <cols>
    <col min="1" max="1" width="16.21875" style="68" customWidth="1"/>
    <col min="2" max="2" width="30.77734375" style="82" customWidth="1"/>
    <col min="3" max="3" width="32.5546875" style="69" customWidth="1"/>
    <col min="4" max="4" width="26.77734375" style="69" customWidth="1"/>
    <col min="5" max="5" width="26.44140625" style="69" customWidth="1"/>
    <col min="6" max="6" width="25.21875" style="69" bestFit="1" customWidth="1"/>
    <col min="7" max="7" width="42.44140625" style="41" bestFit="1" customWidth="1"/>
    <col min="8" max="8" width="24.21875" style="41" bestFit="1" customWidth="1"/>
    <col min="9" max="9" width="1.21875" style="68" customWidth="1"/>
    <col min="10" max="10" width="23.21875" style="69" customWidth="1"/>
    <col min="11" max="11" width="28.77734375" style="69" customWidth="1"/>
    <col min="12" max="12" width="25.21875" style="41" customWidth="1"/>
    <col min="13" max="13" width="10.5546875" style="41" customWidth="1"/>
    <col min="14" max="14" width="4.44140625" style="24" hidden="1" customWidth="1"/>
    <col min="15" max="15" width="40.5546875" style="68" hidden="1" customWidth="1"/>
    <col min="16" max="16384" width="13.21875" style="68" hidden="1"/>
  </cols>
  <sheetData>
    <row r="1" spans="1:41" ht="44.55" customHeight="1" thickBot="1">
      <c r="B1" s="413" t="s">
        <v>266</v>
      </c>
      <c r="C1" s="414"/>
      <c r="D1" s="414"/>
      <c r="E1" s="414"/>
      <c r="F1" s="414"/>
      <c r="G1" s="414"/>
      <c r="H1" s="414"/>
      <c r="I1" s="414"/>
      <c r="J1" s="414"/>
      <c r="K1" s="414"/>
      <c r="L1" s="415"/>
      <c r="M1" s="76"/>
    </row>
    <row r="2" spans="1:41" ht="44.55" customHeight="1" thickBot="1">
      <c r="B2" s="410" t="s">
        <v>267</v>
      </c>
      <c r="C2" s="411"/>
      <c r="D2" s="411"/>
      <c r="E2" s="411"/>
      <c r="F2" s="411"/>
      <c r="G2" s="411"/>
      <c r="H2" s="412"/>
      <c r="I2" s="148"/>
      <c r="J2" s="416" t="s">
        <v>268</v>
      </c>
      <c r="K2" s="417"/>
      <c r="L2" s="418"/>
      <c r="M2" s="77"/>
      <c r="N2" s="71"/>
      <c r="O2" s="70" t="s">
        <v>269</v>
      </c>
    </row>
    <row r="3" spans="1:41" s="40" customFormat="1" ht="42" customHeight="1">
      <c r="A3" s="78" t="s">
        <v>267</v>
      </c>
      <c r="B3" s="140" t="s">
        <v>270</v>
      </c>
      <c r="C3" s="141" t="s">
        <v>271</v>
      </c>
      <c r="D3" s="234" t="s">
        <v>272</v>
      </c>
      <c r="E3" s="141" t="s">
        <v>273</v>
      </c>
      <c r="F3" s="141" t="s">
        <v>274</v>
      </c>
      <c r="G3" s="141" t="s">
        <v>275</v>
      </c>
      <c r="H3" s="235" t="s">
        <v>276</v>
      </c>
      <c r="I3" s="85" t="s">
        <v>268</v>
      </c>
      <c r="J3" s="40" t="s">
        <v>277</v>
      </c>
      <c r="K3" s="40" t="s">
        <v>278</v>
      </c>
      <c r="L3" s="40" t="s">
        <v>279</v>
      </c>
      <c r="N3" s="72"/>
      <c r="O3" s="75" t="s">
        <v>22</v>
      </c>
      <c r="P3" s="75" t="s">
        <v>23</v>
      </c>
      <c r="Q3" s="75" t="s">
        <v>24</v>
      </c>
      <c r="R3" s="75" t="s">
        <v>25</v>
      </c>
      <c r="S3" s="75" t="s">
        <v>26</v>
      </c>
      <c r="T3" s="75" t="s">
        <v>27</v>
      </c>
      <c r="U3" s="75" t="s">
        <v>29</v>
      </c>
      <c r="V3" s="75" t="s">
        <v>30</v>
      </c>
      <c r="W3" s="75" t="s">
        <v>31</v>
      </c>
      <c r="X3" s="75" t="s">
        <v>34</v>
      </c>
      <c r="Y3" s="75" t="s">
        <v>36</v>
      </c>
      <c r="Z3" s="75" t="s">
        <v>38</v>
      </c>
      <c r="AA3" s="75" t="s">
        <v>41</v>
      </c>
      <c r="AB3" s="75" t="s">
        <v>43</v>
      </c>
      <c r="AC3" s="75" t="s">
        <v>45</v>
      </c>
      <c r="AD3" s="75" t="s">
        <v>48</v>
      </c>
      <c r="AE3" s="75" t="s">
        <v>50</v>
      </c>
      <c r="AF3" s="75" t="s">
        <v>52</v>
      </c>
      <c r="AG3" s="75" t="s">
        <v>55</v>
      </c>
      <c r="AH3" s="75" t="s">
        <v>57</v>
      </c>
      <c r="AI3" s="75" t="s">
        <v>59</v>
      </c>
      <c r="AJ3" s="75" t="s">
        <v>62</v>
      </c>
      <c r="AK3" s="75" t="s">
        <v>64</v>
      </c>
      <c r="AL3" s="75" t="s">
        <v>66</v>
      </c>
      <c r="AM3" s="75" t="s">
        <v>69</v>
      </c>
      <c r="AN3" s="75" t="s">
        <v>71</v>
      </c>
      <c r="AO3" s="75" t="s">
        <v>73</v>
      </c>
    </row>
    <row r="4" spans="1:41" ht="44.55" customHeight="1">
      <c r="B4" s="142" t="s">
        <v>280</v>
      </c>
      <c r="C4" s="138" t="s">
        <v>281</v>
      </c>
      <c r="D4" s="138" t="s">
        <v>282</v>
      </c>
      <c r="E4" s="138" t="s">
        <v>283</v>
      </c>
      <c r="F4" s="138" t="s">
        <v>284</v>
      </c>
      <c r="G4" s="138" t="s">
        <v>285</v>
      </c>
      <c r="H4" s="143" t="s">
        <v>286</v>
      </c>
      <c r="I4" s="39"/>
      <c r="J4" s="83" t="s">
        <v>287</v>
      </c>
      <c r="K4" s="83" t="s">
        <v>288</v>
      </c>
      <c r="L4" s="83" t="s">
        <v>289</v>
      </c>
      <c r="M4" s="39"/>
      <c r="N4" s="71">
        <v>2</v>
      </c>
      <c r="O4" s="71" t="e">
        <f>HLOOKUP('Identificação e Análise'!$D$12,Vulnerabilidades!$A$3:$L$27,Vulnerabilidades!$N4,0)</f>
        <v>#N/A</v>
      </c>
      <c r="P4" s="71" t="e">
        <f>HLOOKUP('Identificação e Análise'!#REF!,Vulnerabilidades!$A$3:$L$27,Vulnerabilidades!$N4,0)</f>
        <v>#REF!</v>
      </c>
      <c r="Q4" s="71" t="e">
        <f>HLOOKUP('Identificação e Análise'!#REF!,Vulnerabilidades!$A$3:$L$27,Vulnerabilidades!$N4,0)</f>
        <v>#REF!</v>
      </c>
      <c r="R4" s="71" t="e">
        <f>HLOOKUP('Identificação e Análise'!$D$15,Vulnerabilidades!$A$3:$L$27,Vulnerabilidades!$N4,0)</f>
        <v>#N/A</v>
      </c>
      <c r="S4" s="71" t="e">
        <f>HLOOKUP('Identificação e Análise'!#REF!,Vulnerabilidades!$A$3:$L$27,Vulnerabilidades!$N4,0)</f>
        <v>#REF!</v>
      </c>
      <c r="T4" s="71" t="e">
        <f>HLOOKUP('Identificação e Análise'!#REF!,Vulnerabilidades!$A$3:$L$27,Vulnerabilidades!$N4,0)</f>
        <v>#REF!</v>
      </c>
      <c r="U4" s="71" t="e">
        <f>HLOOKUP('Identificação e Análise'!$D$18,Vulnerabilidades!$A$3:$L$27,Vulnerabilidades!$N4,0)</f>
        <v>#N/A</v>
      </c>
      <c r="V4" s="71" t="e">
        <f>HLOOKUP('Identificação e Análise'!#REF!,Vulnerabilidades!$A$3:$L$27,Vulnerabilidades!$N4,0)</f>
        <v>#REF!</v>
      </c>
      <c r="W4" s="71" t="e">
        <f>HLOOKUP('Identificação e Análise'!#REF!,Vulnerabilidades!$A$3:$L$27,Vulnerabilidades!$N4,0)</f>
        <v>#REF!</v>
      </c>
      <c r="X4" s="71" t="e">
        <f>HLOOKUP('Identificação e Análise'!$D$21,Vulnerabilidades!$A$3:$L$27,Vulnerabilidades!$N4,0)</f>
        <v>#N/A</v>
      </c>
      <c r="Y4" s="71" t="e">
        <f>HLOOKUP('Identificação e Análise'!#REF!,Vulnerabilidades!$A$3:$L$27,Vulnerabilidades!$N4,0)</f>
        <v>#REF!</v>
      </c>
      <c r="Z4" s="71" t="e">
        <f>HLOOKUP('Identificação e Análise'!#REF!,Vulnerabilidades!$A$3:$L$27,Vulnerabilidades!$N4,0)</f>
        <v>#REF!</v>
      </c>
      <c r="AA4" s="71" t="e">
        <f>HLOOKUP('Identificação e Análise'!$D$24,Vulnerabilidades!$A$3:$L$27,Vulnerabilidades!$N4,0)</f>
        <v>#N/A</v>
      </c>
      <c r="AB4" s="71" t="e">
        <f>HLOOKUP('Identificação e Análise'!#REF!,Vulnerabilidades!$A$3:$L$27,Vulnerabilidades!$N4,0)</f>
        <v>#REF!</v>
      </c>
      <c r="AC4" s="71" t="e">
        <f>HLOOKUP('Identificação e Análise'!#REF!,Vulnerabilidades!$A$3:$L$27,Vulnerabilidades!$N4,0)</f>
        <v>#REF!</v>
      </c>
      <c r="AD4" s="71" t="e">
        <f>HLOOKUP('Identificação e Análise'!$D$27,Vulnerabilidades!$A$3:$L$27,Vulnerabilidades!$N4,0)</f>
        <v>#N/A</v>
      </c>
      <c r="AE4" s="71" t="e">
        <f>HLOOKUP('Identificação e Análise'!#REF!,Vulnerabilidades!$A$3:$L$27,Vulnerabilidades!$N4,0)</f>
        <v>#REF!</v>
      </c>
      <c r="AF4" s="71" t="e">
        <f>HLOOKUP('Identificação e Análise'!#REF!,Vulnerabilidades!$A$3:$L$27,Vulnerabilidades!$N4,0)</f>
        <v>#REF!</v>
      </c>
      <c r="AG4" s="71" t="e">
        <f>HLOOKUP('Identificação e Análise'!$D$30,Vulnerabilidades!$A$3:$L$27,Vulnerabilidades!$N4,0)</f>
        <v>#N/A</v>
      </c>
      <c r="AH4" s="71" t="e">
        <f>HLOOKUP('Identificação e Análise'!#REF!,Vulnerabilidades!$A$3:$L$27,Vulnerabilidades!$N4,0)</f>
        <v>#REF!</v>
      </c>
      <c r="AI4" s="71" t="e">
        <f>HLOOKUP('Identificação e Análise'!#REF!,Vulnerabilidades!$A$3:$L$27,Vulnerabilidades!$N4,0)</f>
        <v>#REF!</v>
      </c>
      <c r="AJ4" s="71" t="e">
        <f>HLOOKUP('Identificação e Análise'!$D$33,Vulnerabilidades!$A$3:$L$27,Vulnerabilidades!$N4,0)</f>
        <v>#N/A</v>
      </c>
      <c r="AK4" s="71" t="e">
        <f>HLOOKUP('Identificação e Análise'!#REF!,Vulnerabilidades!$A$3:$L$27,Vulnerabilidades!$N4,0)</f>
        <v>#REF!</v>
      </c>
      <c r="AL4" s="71" t="e">
        <f>HLOOKUP('Identificação e Análise'!#REF!,Vulnerabilidades!$A$3:$L$27,Vulnerabilidades!$N4,0)</f>
        <v>#REF!</v>
      </c>
      <c r="AM4" s="71" t="e">
        <f>HLOOKUP('Identificação e Análise'!$D$36,Vulnerabilidades!$A$3:$L$27,Vulnerabilidades!$N4,0)</f>
        <v>#N/A</v>
      </c>
      <c r="AN4" s="71" t="e">
        <f>HLOOKUP('Identificação e Análise'!#REF!,Vulnerabilidades!$A$3:$L$27,Vulnerabilidades!$N4,0)</f>
        <v>#REF!</v>
      </c>
      <c r="AO4" s="71" t="e">
        <f>HLOOKUP('Identificação e Análise'!#REF!,Vulnerabilidades!$A$3:$L$27,Vulnerabilidades!$N4,0)</f>
        <v>#REF!</v>
      </c>
    </row>
    <row r="5" spans="1:41" ht="44.55" customHeight="1">
      <c r="B5" s="142" t="s">
        <v>290</v>
      </c>
      <c r="C5" s="138" t="s">
        <v>291</v>
      </c>
      <c r="D5" s="138" t="s">
        <v>292</v>
      </c>
      <c r="E5" s="138" t="s">
        <v>293</v>
      </c>
      <c r="F5" s="138" t="s">
        <v>294</v>
      </c>
      <c r="G5" s="138" t="s">
        <v>295</v>
      </c>
      <c r="H5" s="143" t="s">
        <v>296</v>
      </c>
      <c r="I5" s="39"/>
      <c r="J5" s="83" t="s">
        <v>297</v>
      </c>
      <c r="K5" s="83" t="s">
        <v>298</v>
      </c>
      <c r="L5" s="83" t="s">
        <v>299</v>
      </c>
      <c r="M5" s="39"/>
      <c r="N5" s="71">
        <v>3</v>
      </c>
      <c r="O5" s="71" t="e">
        <f>HLOOKUP('Identificação e Análise'!$D$12,Vulnerabilidades!$A$3:$L$27,Vulnerabilidades!$N5,0)</f>
        <v>#N/A</v>
      </c>
      <c r="P5" s="71" t="e">
        <f>HLOOKUP('Identificação e Análise'!#REF!,Vulnerabilidades!$A$3:$L$27,Vulnerabilidades!$N5,0)</f>
        <v>#REF!</v>
      </c>
      <c r="Q5" s="71" t="e">
        <f>HLOOKUP('Identificação e Análise'!#REF!,Vulnerabilidades!$A$3:$L$27,Vulnerabilidades!$N5,0)</f>
        <v>#REF!</v>
      </c>
      <c r="R5" s="71" t="e">
        <f>HLOOKUP('Identificação e Análise'!$D$15,Vulnerabilidades!$A$3:$L$27,Vulnerabilidades!$N5,0)</f>
        <v>#N/A</v>
      </c>
      <c r="S5" s="71" t="e">
        <f>HLOOKUP('Identificação e Análise'!#REF!,Vulnerabilidades!$A$3:$L$27,Vulnerabilidades!$N5,0)</f>
        <v>#REF!</v>
      </c>
      <c r="T5" s="71" t="e">
        <f>HLOOKUP('Identificação e Análise'!#REF!,Vulnerabilidades!$A$3:$L$27,Vulnerabilidades!$N5,0)</f>
        <v>#REF!</v>
      </c>
      <c r="U5" s="71" t="e">
        <f>HLOOKUP('Identificação e Análise'!$D$18,Vulnerabilidades!$A$3:$L$27,Vulnerabilidades!$N5,0)</f>
        <v>#N/A</v>
      </c>
      <c r="V5" s="71" t="e">
        <f>HLOOKUP('Identificação e Análise'!#REF!,Vulnerabilidades!$A$3:$L$27,Vulnerabilidades!$N5,0)</f>
        <v>#REF!</v>
      </c>
      <c r="W5" s="71" t="e">
        <f>HLOOKUP('Identificação e Análise'!#REF!,Vulnerabilidades!$A$3:$L$27,Vulnerabilidades!$N5,0)</f>
        <v>#REF!</v>
      </c>
      <c r="X5" s="71" t="e">
        <f>HLOOKUP('Identificação e Análise'!$D$21,Vulnerabilidades!$A$3:$L$27,Vulnerabilidades!$N5,0)</f>
        <v>#N/A</v>
      </c>
      <c r="Y5" s="71" t="e">
        <f>HLOOKUP('Identificação e Análise'!#REF!,Vulnerabilidades!$A$3:$L$27,Vulnerabilidades!$N5,0)</f>
        <v>#REF!</v>
      </c>
      <c r="Z5" s="71" t="e">
        <f>HLOOKUP('Identificação e Análise'!#REF!,Vulnerabilidades!$A$3:$L$27,Vulnerabilidades!$N5,0)</f>
        <v>#REF!</v>
      </c>
      <c r="AA5" s="71" t="e">
        <f>HLOOKUP('Identificação e Análise'!$D$24,Vulnerabilidades!$A$3:$L$27,Vulnerabilidades!$N5,0)</f>
        <v>#N/A</v>
      </c>
      <c r="AB5" s="71" t="e">
        <f>HLOOKUP('Identificação e Análise'!#REF!,Vulnerabilidades!$A$3:$L$27,Vulnerabilidades!$N5,0)</f>
        <v>#REF!</v>
      </c>
      <c r="AC5" s="71" t="e">
        <f>HLOOKUP('Identificação e Análise'!#REF!,Vulnerabilidades!$A$3:$L$27,Vulnerabilidades!$N5,0)</f>
        <v>#REF!</v>
      </c>
      <c r="AD5" s="71" t="e">
        <f>HLOOKUP('Identificação e Análise'!$D$27,Vulnerabilidades!$A$3:$L$27,Vulnerabilidades!$N5,0)</f>
        <v>#N/A</v>
      </c>
      <c r="AE5" s="71" t="e">
        <f>HLOOKUP('Identificação e Análise'!#REF!,Vulnerabilidades!$A$3:$L$27,Vulnerabilidades!$N5,0)</f>
        <v>#REF!</v>
      </c>
      <c r="AF5" s="71" t="e">
        <f>HLOOKUP('Identificação e Análise'!#REF!,Vulnerabilidades!$A$3:$L$27,Vulnerabilidades!$N5,0)</f>
        <v>#REF!</v>
      </c>
      <c r="AG5" s="71" t="e">
        <f>HLOOKUP('Identificação e Análise'!$D$30,Vulnerabilidades!$A$3:$L$27,Vulnerabilidades!$N5,0)</f>
        <v>#N/A</v>
      </c>
      <c r="AH5" s="71" t="e">
        <f>HLOOKUP('Identificação e Análise'!#REF!,Vulnerabilidades!$A$3:$L$27,Vulnerabilidades!$N5,0)</f>
        <v>#REF!</v>
      </c>
      <c r="AI5" s="71" t="e">
        <f>HLOOKUP('Identificação e Análise'!#REF!,Vulnerabilidades!$A$3:$L$27,Vulnerabilidades!$N5,0)</f>
        <v>#REF!</v>
      </c>
      <c r="AJ5" s="71" t="e">
        <f>HLOOKUP('Identificação e Análise'!$D$33,Vulnerabilidades!$A$3:$L$27,Vulnerabilidades!$N5,0)</f>
        <v>#N/A</v>
      </c>
      <c r="AK5" s="71" t="e">
        <f>HLOOKUP('Identificação e Análise'!#REF!,Vulnerabilidades!$A$3:$L$27,Vulnerabilidades!$N5,0)</f>
        <v>#REF!</v>
      </c>
      <c r="AL5" s="71" t="e">
        <f>HLOOKUP('Identificação e Análise'!#REF!,Vulnerabilidades!$A$3:$L$27,Vulnerabilidades!$N5,0)</f>
        <v>#REF!</v>
      </c>
      <c r="AM5" s="71" t="e">
        <f>HLOOKUP('Identificação e Análise'!$D$36,Vulnerabilidades!$A$3:$L$27,Vulnerabilidades!$N5,0)</f>
        <v>#N/A</v>
      </c>
      <c r="AN5" s="71" t="e">
        <f>HLOOKUP('Identificação e Análise'!#REF!,Vulnerabilidades!$A$3:$L$27,Vulnerabilidades!$N5,0)</f>
        <v>#REF!</v>
      </c>
      <c r="AO5" s="71" t="e">
        <f>HLOOKUP('Identificação e Análise'!#REF!,Vulnerabilidades!$A$3:$L$27,Vulnerabilidades!$N5,0)</f>
        <v>#REF!</v>
      </c>
    </row>
    <row r="6" spans="1:41" ht="44.55" customHeight="1">
      <c r="B6" s="144" t="s">
        <v>300</v>
      </c>
      <c r="C6" s="138" t="s">
        <v>301</v>
      </c>
      <c r="D6" s="138" t="s">
        <v>302</v>
      </c>
      <c r="E6" s="138" t="s">
        <v>303</v>
      </c>
      <c r="F6" s="138" t="s">
        <v>304</v>
      </c>
      <c r="G6" s="138" t="s">
        <v>281</v>
      </c>
      <c r="H6" s="143" t="s">
        <v>305</v>
      </c>
      <c r="I6" s="39"/>
      <c r="J6" s="83" t="s">
        <v>306</v>
      </c>
      <c r="K6" s="83" t="s">
        <v>307</v>
      </c>
      <c r="L6" s="83" t="s">
        <v>308</v>
      </c>
      <c r="M6" s="39"/>
      <c r="N6" s="71">
        <v>4</v>
      </c>
      <c r="O6" s="71" t="e">
        <f>HLOOKUP('Identificação e Análise'!$D$12,Vulnerabilidades!$A$3:$L$27,Vulnerabilidades!$N6,0)</f>
        <v>#N/A</v>
      </c>
      <c r="P6" s="71" t="e">
        <f>HLOOKUP('Identificação e Análise'!#REF!,Vulnerabilidades!$A$3:$L$27,Vulnerabilidades!$N6,0)</f>
        <v>#REF!</v>
      </c>
      <c r="Q6" s="71" t="e">
        <f>HLOOKUP('Identificação e Análise'!#REF!,Vulnerabilidades!$A$3:$L$27,Vulnerabilidades!$N6,0)</f>
        <v>#REF!</v>
      </c>
      <c r="R6" s="71" t="e">
        <f>HLOOKUP('Identificação e Análise'!$D$15,Vulnerabilidades!$A$3:$L$27,Vulnerabilidades!$N6,0)</f>
        <v>#N/A</v>
      </c>
      <c r="S6" s="71" t="e">
        <f>HLOOKUP('Identificação e Análise'!#REF!,Vulnerabilidades!$A$3:$L$27,Vulnerabilidades!$N6,0)</f>
        <v>#REF!</v>
      </c>
      <c r="T6" s="71" t="e">
        <f>HLOOKUP('Identificação e Análise'!#REF!,Vulnerabilidades!$A$3:$L$27,Vulnerabilidades!$N6,0)</f>
        <v>#REF!</v>
      </c>
      <c r="U6" s="71" t="e">
        <f>HLOOKUP('Identificação e Análise'!$D$18,Vulnerabilidades!$A$3:$L$27,Vulnerabilidades!$N6,0)</f>
        <v>#N/A</v>
      </c>
      <c r="V6" s="71" t="e">
        <f>HLOOKUP('Identificação e Análise'!#REF!,Vulnerabilidades!$A$3:$L$27,Vulnerabilidades!$N6,0)</f>
        <v>#REF!</v>
      </c>
      <c r="W6" s="71" t="e">
        <f>HLOOKUP('Identificação e Análise'!#REF!,Vulnerabilidades!$A$3:$L$27,Vulnerabilidades!$N6,0)</f>
        <v>#REF!</v>
      </c>
      <c r="X6" s="71" t="e">
        <f>HLOOKUP('Identificação e Análise'!$D$21,Vulnerabilidades!$A$3:$L$27,Vulnerabilidades!$N6,0)</f>
        <v>#N/A</v>
      </c>
      <c r="Y6" s="71" t="e">
        <f>HLOOKUP('Identificação e Análise'!#REF!,Vulnerabilidades!$A$3:$L$27,Vulnerabilidades!$N6,0)</f>
        <v>#REF!</v>
      </c>
      <c r="Z6" s="71" t="e">
        <f>HLOOKUP('Identificação e Análise'!#REF!,Vulnerabilidades!$A$3:$L$27,Vulnerabilidades!$N6,0)</f>
        <v>#REF!</v>
      </c>
      <c r="AA6" s="71" t="e">
        <f>HLOOKUP('Identificação e Análise'!$D$24,Vulnerabilidades!$A$3:$L$27,Vulnerabilidades!$N6,0)</f>
        <v>#N/A</v>
      </c>
      <c r="AB6" s="71" t="e">
        <f>HLOOKUP('Identificação e Análise'!#REF!,Vulnerabilidades!$A$3:$L$27,Vulnerabilidades!$N6,0)</f>
        <v>#REF!</v>
      </c>
      <c r="AC6" s="71" t="e">
        <f>HLOOKUP('Identificação e Análise'!#REF!,Vulnerabilidades!$A$3:$L$27,Vulnerabilidades!$N6,0)</f>
        <v>#REF!</v>
      </c>
      <c r="AD6" s="71" t="e">
        <f>HLOOKUP('Identificação e Análise'!$D$27,Vulnerabilidades!$A$3:$L$27,Vulnerabilidades!$N6,0)</f>
        <v>#N/A</v>
      </c>
      <c r="AE6" s="71" t="e">
        <f>HLOOKUP('Identificação e Análise'!#REF!,Vulnerabilidades!$A$3:$L$27,Vulnerabilidades!$N6,0)</f>
        <v>#REF!</v>
      </c>
      <c r="AF6" s="71" t="e">
        <f>HLOOKUP('Identificação e Análise'!#REF!,Vulnerabilidades!$A$3:$L$27,Vulnerabilidades!$N6,0)</f>
        <v>#REF!</v>
      </c>
      <c r="AG6" s="71" t="e">
        <f>HLOOKUP('Identificação e Análise'!$D$30,Vulnerabilidades!$A$3:$L$27,Vulnerabilidades!$N6,0)</f>
        <v>#N/A</v>
      </c>
      <c r="AH6" s="71" t="e">
        <f>HLOOKUP('Identificação e Análise'!#REF!,Vulnerabilidades!$A$3:$L$27,Vulnerabilidades!$N6,0)</f>
        <v>#REF!</v>
      </c>
      <c r="AI6" s="71" t="e">
        <f>HLOOKUP('Identificação e Análise'!#REF!,Vulnerabilidades!$A$3:$L$27,Vulnerabilidades!$N6,0)</f>
        <v>#REF!</v>
      </c>
      <c r="AJ6" s="71" t="e">
        <f>HLOOKUP('Identificação e Análise'!$D$33,Vulnerabilidades!$A$3:$L$27,Vulnerabilidades!$N6,0)</f>
        <v>#N/A</v>
      </c>
      <c r="AK6" s="71" t="e">
        <f>HLOOKUP('Identificação e Análise'!#REF!,Vulnerabilidades!$A$3:$L$27,Vulnerabilidades!$N6,0)</f>
        <v>#REF!</v>
      </c>
      <c r="AL6" s="71" t="e">
        <f>HLOOKUP('Identificação e Análise'!#REF!,Vulnerabilidades!$A$3:$L$27,Vulnerabilidades!$N6,0)</f>
        <v>#REF!</v>
      </c>
      <c r="AM6" s="71" t="e">
        <f>HLOOKUP('Identificação e Análise'!$D$36,Vulnerabilidades!$A$3:$L$27,Vulnerabilidades!$N6,0)</f>
        <v>#N/A</v>
      </c>
      <c r="AN6" s="71" t="e">
        <f>HLOOKUP('Identificação e Análise'!#REF!,Vulnerabilidades!$A$3:$L$27,Vulnerabilidades!$N6,0)</f>
        <v>#REF!</v>
      </c>
      <c r="AO6" s="71" t="e">
        <f>HLOOKUP('Identificação e Análise'!#REF!,Vulnerabilidades!$A$3:$L$27,Vulnerabilidades!$N6,0)</f>
        <v>#REF!</v>
      </c>
    </row>
    <row r="7" spans="1:41" ht="44.55" customHeight="1">
      <c r="B7" s="142" t="s">
        <v>309</v>
      </c>
      <c r="C7" s="138" t="s">
        <v>310</v>
      </c>
      <c r="D7" s="138" t="s">
        <v>311</v>
      </c>
      <c r="E7" s="138" t="s">
        <v>312</v>
      </c>
      <c r="F7" s="138" t="s">
        <v>313</v>
      </c>
      <c r="G7" s="138" t="s">
        <v>314</v>
      </c>
      <c r="H7" s="143" t="s">
        <v>315</v>
      </c>
      <c r="I7" s="39"/>
      <c r="J7" s="83" t="s">
        <v>316</v>
      </c>
      <c r="K7" s="83" t="s">
        <v>317</v>
      </c>
      <c r="L7" s="83" t="s">
        <v>318</v>
      </c>
      <c r="M7" s="39"/>
      <c r="N7" s="71">
        <v>5</v>
      </c>
      <c r="O7" s="71" t="e">
        <f>HLOOKUP('Identificação e Análise'!$D$12,Vulnerabilidades!$A$3:$L$27,Vulnerabilidades!$N7,0)</f>
        <v>#N/A</v>
      </c>
      <c r="P7" s="71" t="e">
        <f>HLOOKUP('Identificação e Análise'!#REF!,Vulnerabilidades!$A$3:$L$27,Vulnerabilidades!$N7,0)</f>
        <v>#REF!</v>
      </c>
      <c r="Q7" s="71" t="e">
        <f>HLOOKUP('Identificação e Análise'!#REF!,Vulnerabilidades!$A$3:$L$27,Vulnerabilidades!$N7,0)</f>
        <v>#REF!</v>
      </c>
      <c r="R7" s="71" t="e">
        <f>HLOOKUP('Identificação e Análise'!$D$15,Vulnerabilidades!$A$3:$L$27,Vulnerabilidades!$N7,0)</f>
        <v>#N/A</v>
      </c>
      <c r="S7" s="71" t="e">
        <f>HLOOKUP('Identificação e Análise'!#REF!,Vulnerabilidades!$A$3:$L$27,Vulnerabilidades!$N7,0)</f>
        <v>#REF!</v>
      </c>
      <c r="T7" s="71" t="e">
        <f>HLOOKUP('Identificação e Análise'!#REF!,Vulnerabilidades!$A$3:$L$27,Vulnerabilidades!$N7,0)</f>
        <v>#REF!</v>
      </c>
      <c r="U7" s="71" t="e">
        <f>HLOOKUP('Identificação e Análise'!$D$18,Vulnerabilidades!$A$3:$L$27,Vulnerabilidades!$N7,0)</f>
        <v>#N/A</v>
      </c>
      <c r="V7" s="71" t="e">
        <f>HLOOKUP('Identificação e Análise'!#REF!,Vulnerabilidades!$A$3:$L$27,Vulnerabilidades!$N7,0)</f>
        <v>#REF!</v>
      </c>
      <c r="W7" s="71" t="e">
        <f>HLOOKUP('Identificação e Análise'!#REF!,Vulnerabilidades!$A$3:$L$27,Vulnerabilidades!$N7,0)</f>
        <v>#REF!</v>
      </c>
      <c r="X7" s="71" t="e">
        <f>HLOOKUP('Identificação e Análise'!$D$21,Vulnerabilidades!$A$3:$L$27,Vulnerabilidades!$N7,0)</f>
        <v>#N/A</v>
      </c>
      <c r="Y7" s="71" t="e">
        <f>HLOOKUP('Identificação e Análise'!#REF!,Vulnerabilidades!$A$3:$L$27,Vulnerabilidades!$N7,0)</f>
        <v>#REF!</v>
      </c>
      <c r="Z7" s="71" t="e">
        <f>HLOOKUP('Identificação e Análise'!#REF!,Vulnerabilidades!$A$3:$L$27,Vulnerabilidades!$N7,0)</f>
        <v>#REF!</v>
      </c>
      <c r="AA7" s="71" t="e">
        <f>HLOOKUP('Identificação e Análise'!$D$24,Vulnerabilidades!$A$3:$L$27,Vulnerabilidades!$N7,0)</f>
        <v>#N/A</v>
      </c>
      <c r="AB7" s="71" t="e">
        <f>HLOOKUP('Identificação e Análise'!#REF!,Vulnerabilidades!$A$3:$L$27,Vulnerabilidades!$N7,0)</f>
        <v>#REF!</v>
      </c>
      <c r="AC7" s="71" t="e">
        <f>HLOOKUP('Identificação e Análise'!#REF!,Vulnerabilidades!$A$3:$L$27,Vulnerabilidades!$N7,0)</f>
        <v>#REF!</v>
      </c>
      <c r="AD7" s="71" t="e">
        <f>HLOOKUP('Identificação e Análise'!$D$27,Vulnerabilidades!$A$3:$L$27,Vulnerabilidades!$N7,0)</f>
        <v>#N/A</v>
      </c>
      <c r="AE7" s="71" t="e">
        <f>HLOOKUP('Identificação e Análise'!#REF!,Vulnerabilidades!$A$3:$L$27,Vulnerabilidades!$N7,0)</f>
        <v>#REF!</v>
      </c>
      <c r="AF7" s="71" t="e">
        <f>HLOOKUP('Identificação e Análise'!#REF!,Vulnerabilidades!$A$3:$L$27,Vulnerabilidades!$N7,0)</f>
        <v>#REF!</v>
      </c>
      <c r="AG7" s="71" t="e">
        <f>HLOOKUP('Identificação e Análise'!$D$30,Vulnerabilidades!$A$3:$L$27,Vulnerabilidades!$N7,0)</f>
        <v>#N/A</v>
      </c>
      <c r="AH7" s="71" t="e">
        <f>HLOOKUP('Identificação e Análise'!#REF!,Vulnerabilidades!$A$3:$L$27,Vulnerabilidades!$N7,0)</f>
        <v>#REF!</v>
      </c>
      <c r="AI7" s="71" t="e">
        <f>HLOOKUP('Identificação e Análise'!#REF!,Vulnerabilidades!$A$3:$L$27,Vulnerabilidades!$N7,0)</f>
        <v>#REF!</v>
      </c>
      <c r="AJ7" s="71" t="e">
        <f>HLOOKUP('Identificação e Análise'!$D$33,Vulnerabilidades!$A$3:$L$27,Vulnerabilidades!$N7,0)</f>
        <v>#N/A</v>
      </c>
      <c r="AK7" s="71" t="e">
        <f>HLOOKUP('Identificação e Análise'!#REF!,Vulnerabilidades!$A$3:$L$27,Vulnerabilidades!$N7,0)</f>
        <v>#REF!</v>
      </c>
      <c r="AL7" s="71" t="e">
        <f>HLOOKUP('Identificação e Análise'!#REF!,Vulnerabilidades!$A$3:$L$27,Vulnerabilidades!$N7,0)</f>
        <v>#REF!</v>
      </c>
      <c r="AM7" s="71" t="e">
        <f>HLOOKUP('Identificação e Análise'!$D$36,Vulnerabilidades!$A$3:$L$27,Vulnerabilidades!$N7,0)</f>
        <v>#N/A</v>
      </c>
      <c r="AN7" s="71" t="e">
        <f>HLOOKUP('Identificação e Análise'!#REF!,Vulnerabilidades!$A$3:$L$27,Vulnerabilidades!$N7,0)</f>
        <v>#REF!</v>
      </c>
      <c r="AO7" s="71" t="e">
        <f>HLOOKUP('Identificação e Análise'!#REF!,Vulnerabilidades!$A$3:$L$27,Vulnerabilidades!$N7,0)</f>
        <v>#REF!</v>
      </c>
    </row>
    <row r="8" spans="1:41" ht="44.55" customHeight="1">
      <c r="B8" s="142" t="s">
        <v>319</v>
      </c>
      <c r="C8" s="138" t="s">
        <v>320</v>
      </c>
      <c r="D8" s="138" t="s">
        <v>321</v>
      </c>
      <c r="E8" s="138" t="s">
        <v>322</v>
      </c>
      <c r="F8" s="138" t="s">
        <v>323</v>
      </c>
      <c r="G8" s="138" t="s">
        <v>324</v>
      </c>
      <c r="H8" s="143" t="s">
        <v>325</v>
      </c>
      <c r="I8" s="39"/>
      <c r="J8" s="83"/>
      <c r="K8" s="83" t="s">
        <v>326</v>
      </c>
      <c r="L8" s="83"/>
      <c r="M8" s="39"/>
      <c r="N8" s="71">
        <v>6</v>
      </c>
      <c r="O8" s="71" t="e">
        <f>HLOOKUP('Identificação e Análise'!$D$12,Vulnerabilidades!$A$3:$L$27,Vulnerabilidades!$N8,0)</f>
        <v>#N/A</v>
      </c>
      <c r="P8" s="71" t="e">
        <f>HLOOKUP('Identificação e Análise'!#REF!,Vulnerabilidades!$A$3:$L$27,Vulnerabilidades!$N8,0)</f>
        <v>#REF!</v>
      </c>
      <c r="Q8" s="71" t="e">
        <f>HLOOKUP('Identificação e Análise'!#REF!,Vulnerabilidades!$A$3:$L$27,Vulnerabilidades!$N8,0)</f>
        <v>#REF!</v>
      </c>
      <c r="R8" s="71" t="e">
        <f>HLOOKUP('Identificação e Análise'!$D$15,Vulnerabilidades!$A$3:$L$27,Vulnerabilidades!$N8,0)</f>
        <v>#N/A</v>
      </c>
      <c r="S8" s="71" t="e">
        <f>HLOOKUP('Identificação e Análise'!#REF!,Vulnerabilidades!$A$3:$L$27,Vulnerabilidades!$N8,0)</f>
        <v>#REF!</v>
      </c>
      <c r="T8" s="71" t="e">
        <f>HLOOKUP('Identificação e Análise'!#REF!,Vulnerabilidades!$A$3:$L$27,Vulnerabilidades!$N8,0)</f>
        <v>#REF!</v>
      </c>
      <c r="U8" s="71" t="e">
        <f>HLOOKUP('Identificação e Análise'!$D$18,Vulnerabilidades!$A$3:$L$27,Vulnerabilidades!$N8,0)</f>
        <v>#N/A</v>
      </c>
      <c r="V8" s="71" t="e">
        <f>HLOOKUP('Identificação e Análise'!#REF!,Vulnerabilidades!$A$3:$L$27,Vulnerabilidades!$N8,0)</f>
        <v>#REF!</v>
      </c>
      <c r="W8" s="71" t="e">
        <f>HLOOKUP('Identificação e Análise'!#REF!,Vulnerabilidades!$A$3:$L$27,Vulnerabilidades!$N8,0)</f>
        <v>#REF!</v>
      </c>
      <c r="X8" s="71" t="e">
        <f>HLOOKUP('Identificação e Análise'!$D$21,Vulnerabilidades!$A$3:$L$27,Vulnerabilidades!$N8,0)</f>
        <v>#N/A</v>
      </c>
      <c r="Y8" s="71" t="e">
        <f>HLOOKUP('Identificação e Análise'!#REF!,Vulnerabilidades!$A$3:$L$27,Vulnerabilidades!$N8,0)</f>
        <v>#REF!</v>
      </c>
      <c r="Z8" s="71" t="e">
        <f>HLOOKUP('Identificação e Análise'!#REF!,Vulnerabilidades!$A$3:$L$27,Vulnerabilidades!$N8,0)</f>
        <v>#REF!</v>
      </c>
      <c r="AA8" s="71" t="e">
        <f>HLOOKUP('Identificação e Análise'!$D$24,Vulnerabilidades!$A$3:$L$27,Vulnerabilidades!$N8,0)</f>
        <v>#N/A</v>
      </c>
      <c r="AB8" s="71" t="e">
        <f>HLOOKUP('Identificação e Análise'!#REF!,Vulnerabilidades!$A$3:$L$27,Vulnerabilidades!$N8,0)</f>
        <v>#REF!</v>
      </c>
      <c r="AC8" s="71" t="e">
        <f>HLOOKUP('Identificação e Análise'!#REF!,Vulnerabilidades!$A$3:$L$27,Vulnerabilidades!$N8,0)</f>
        <v>#REF!</v>
      </c>
      <c r="AD8" s="71" t="e">
        <f>HLOOKUP('Identificação e Análise'!$D$27,Vulnerabilidades!$A$3:$L$27,Vulnerabilidades!$N8,0)</f>
        <v>#N/A</v>
      </c>
      <c r="AE8" s="71" t="e">
        <f>HLOOKUP('Identificação e Análise'!#REF!,Vulnerabilidades!$A$3:$L$27,Vulnerabilidades!$N8,0)</f>
        <v>#REF!</v>
      </c>
      <c r="AF8" s="71" t="e">
        <f>HLOOKUP('Identificação e Análise'!#REF!,Vulnerabilidades!$A$3:$L$27,Vulnerabilidades!$N8,0)</f>
        <v>#REF!</v>
      </c>
      <c r="AG8" s="71" t="e">
        <f>HLOOKUP('Identificação e Análise'!$D$30,Vulnerabilidades!$A$3:$L$27,Vulnerabilidades!$N8,0)</f>
        <v>#N/A</v>
      </c>
      <c r="AH8" s="71" t="e">
        <f>HLOOKUP('Identificação e Análise'!#REF!,Vulnerabilidades!$A$3:$L$27,Vulnerabilidades!$N8,0)</f>
        <v>#REF!</v>
      </c>
      <c r="AI8" s="71" t="e">
        <f>HLOOKUP('Identificação e Análise'!#REF!,Vulnerabilidades!$A$3:$L$27,Vulnerabilidades!$N8,0)</f>
        <v>#REF!</v>
      </c>
      <c r="AJ8" s="71" t="e">
        <f>HLOOKUP('Identificação e Análise'!$D$33,Vulnerabilidades!$A$3:$L$27,Vulnerabilidades!$N8,0)</f>
        <v>#N/A</v>
      </c>
      <c r="AK8" s="71" t="e">
        <f>HLOOKUP('Identificação e Análise'!#REF!,Vulnerabilidades!$A$3:$L$27,Vulnerabilidades!$N8,0)</f>
        <v>#REF!</v>
      </c>
      <c r="AL8" s="71" t="e">
        <f>HLOOKUP('Identificação e Análise'!#REF!,Vulnerabilidades!$A$3:$L$27,Vulnerabilidades!$N8,0)</f>
        <v>#REF!</v>
      </c>
      <c r="AM8" s="71" t="e">
        <f>HLOOKUP('Identificação e Análise'!$D$36,Vulnerabilidades!$A$3:$L$27,Vulnerabilidades!$N8,0)</f>
        <v>#N/A</v>
      </c>
      <c r="AN8" s="71" t="e">
        <f>HLOOKUP('Identificação e Análise'!#REF!,Vulnerabilidades!$A$3:$L$27,Vulnerabilidades!$N8,0)</f>
        <v>#REF!</v>
      </c>
      <c r="AO8" s="71" t="e">
        <f>HLOOKUP('Identificação e Análise'!#REF!,Vulnerabilidades!$A$3:$L$27,Vulnerabilidades!$N8,0)</f>
        <v>#REF!</v>
      </c>
    </row>
    <row r="9" spans="1:41" ht="44.55" customHeight="1">
      <c r="B9" s="144" t="s">
        <v>327</v>
      </c>
      <c r="C9" s="138" t="s">
        <v>328</v>
      </c>
      <c r="D9" s="138" t="s">
        <v>329</v>
      </c>
      <c r="E9" s="139"/>
      <c r="F9" s="138" t="s">
        <v>330</v>
      </c>
      <c r="G9" s="138" t="s">
        <v>331</v>
      </c>
      <c r="H9" s="143"/>
      <c r="I9" s="39"/>
      <c r="J9" s="83"/>
      <c r="K9" s="83"/>
      <c r="L9" s="83"/>
      <c r="M9" s="39"/>
      <c r="N9" s="71">
        <v>7</v>
      </c>
      <c r="O9" s="71" t="e">
        <f>HLOOKUP('Identificação e Análise'!$D$12,Vulnerabilidades!$A$3:$L$27,Vulnerabilidades!$N9,0)</f>
        <v>#N/A</v>
      </c>
      <c r="P9" s="71" t="e">
        <f>HLOOKUP('Identificação e Análise'!#REF!,Vulnerabilidades!$A$3:$L$27,Vulnerabilidades!$N9,0)</f>
        <v>#REF!</v>
      </c>
      <c r="Q9" s="71" t="e">
        <f>HLOOKUP('Identificação e Análise'!#REF!,Vulnerabilidades!$A$3:$L$27,Vulnerabilidades!$N9,0)</f>
        <v>#REF!</v>
      </c>
      <c r="R9" s="71" t="e">
        <f>HLOOKUP('Identificação e Análise'!$D$15,Vulnerabilidades!$A$3:$L$27,Vulnerabilidades!$N9,0)</f>
        <v>#N/A</v>
      </c>
      <c r="S9" s="71" t="e">
        <f>HLOOKUP('Identificação e Análise'!#REF!,Vulnerabilidades!$A$3:$L$27,Vulnerabilidades!$N9,0)</f>
        <v>#REF!</v>
      </c>
      <c r="T9" s="71" t="e">
        <f>HLOOKUP('Identificação e Análise'!#REF!,Vulnerabilidades!$A$3:$L$27,Vulnerabilidades!$N9,0)</f>
        <v>#REF!</v>
      </c>
      <c r="U9" s="71" t="e">
        <f>HLOOKUP('Identificação e Análise'!$D$18,Vulnerabilidades!$A$3:$L$27,Vulnerabilidades!$N9,0)</f>
        <v>#N/A</v>
      </c>
      <c r="V9" s="71" t="e">
        <f>HLOOKUP('Identificação e Análise'!#REF!,Vulnerabilidades!$A$3:$L$27,Vulnerabilidades!$N9,0)</f>
        <v>#REF!</v>
      </c>
      <c r="W9" s="71" t="e">
        <f>HLOOKUP('Identificação e Análise'!#REF!,Vulnerabilidades!$A$3:$L$27,Vulnerabilidades!$N9,0)</f>
        <v>#REF!</v>
      </c>
      <c r="X9" s="71" t="e">
        <f>HLOOKUP('Identificação e Análise'!$D$21,Vulnerabilidades!$A$3:$L$27,Vulnerabilidades!$N9,0)</f>
        <v>#N/A</v>
      </c>
      <c r="Y9" s="71" t="e">
        <f>HLOOKUP('Identificação e Análise'!#REF!,Vulnerabilidades!$A$3:$L$27,Vulnerabilidades!$N9,0)</f>
        <v>#REF!</v>
      </c>
      <c r="Z9" s="71" t="e">
        <f>HLOOKUP('Identificação e Análise'!#REF!,Vulnerabilidades!$A$3:$L$27,Vulnerabilidades!$N9,0)</f>
        <v>#REF!</v>
      </c>
      <c r="AA9" s="71" t="e">
        <f>HLOOKUP('Identificação e Análise'!$D$24,Vulnerabilidades!$A$3:$L$27,Vulnerabilidades!$N9,0)</f>
        <v>#N/A</v>
      </c>
      <c r="AB9" s="71" t="e">
        <f>HLOOKUP('Identificação e Análise'!#REF!,Vulnerabilidades!$A$3:$L$27,Vulnerabilidades!$N9,0)</f>
        <v>#REF!</v>
      </c>
      <c r="AC9" s="71" t="e">
        <f>HLOOKUP('Identificação e Análise'!#REF!,Vulnerabilidades!$A$3:$L$27,Vulnerabilidades!$N9,0)</f>
        <v>#REF!</v>
      </c>
      <c r="AD9" s="71" t="e">
        <f>HLOOKUP('Identificação e Análise'!$D$27,Vulnerabilidades!$A$3:$L$27,Vulnerabilidades!$N9,0)</f>
        <v>#N/A</v>
      </c>
      <c r="AE9" s="71" t="e">
        <f>HLOOKUP('Identificação e Análise'!#REF!,Vulnerabilidades!$A$3:$L$27,Vulnerabilidades!$N9,0)</f>
        <v>#REF!</v>
      </c>
      <c r="AF9" s="71" t="e">
        <f>HLOOKUP('Identificação e Análise'!#REF!,Vulnerabilidades!$A$3:$L$27,Vulnerabilidades!$N9,0)</f>
        <v>#REF!</v>
      </c>
      <c r="AG9" s="71" t="e">
        <f>HLOOKUP('Identificação e Análise'!$D$30,Vulnerabilidades!$A$3:$L$27,Vulnerabilidades!$N9,0)</f>
        <v>#N/A</v>
      </c>
      <c r="AH9" s="71" t="e">
        <f>HLOOKUP('Identificação e Análise'!#REF!,Vulnerabilidades!$A$3:$L$27,Vulnerabilidades!$N9,0)</f>
        <v>#REF!</v>
      </c>
      <c r="AI9" s="71" t="e">
        <f>HLOOKUP('Identificação e Análise'!#REF!,Vulnerabilidades!$A$3:$L$27,Vulnerabilidades!$N9,0)</f>
        <v>#REF!</v>
      </c>
      <c r="AJ9" s="71" t="e">
        <f>HLOOKUP('Identificação e Análise'!$D$33,Vulnerabilidades!$A$3:$L$27,Vulnerabilidades!$N9,0)</f>
        <v>#N/A</v>
      </c>
      <c r="AK9" s="71" t="e">
        <f>HLOOKUP('Identificação e Análise'!#REF!,Vulnerabilidades!$A$3:$L$27,Vulnerabilidades!$N9,0)</f>
        <v>#REF!</v>
      </c>
      <c r="AL9" s="71" t="e">
        <f>HLOOKUP('Identificação e Análise'!#REF!,Vulnerabilidades!$A$3:$L$27,Vulnerabilidades!$N9,0)</f>
        <v>#REF!</v>
      </c>
      <c r="AM9" s="71" t="e">
        <f>HLOOKUP('Identificação e Análise'!$D$36,Vulnerabilidades!$A$3:$L$27,Vulnerabilidades!$N9,0)</f>
        <v>#N/A</v>
      </c>
      <c r="AN9" s="71" t="e">
        <f>HLOOKUP('Identificação e Análise'!#REF!,Vulnerabilidades!$A$3:$L$27,Vulnerabilidades!$N9,0)</f>
        <v>#REF!</v>
      </c>
      <c r="AO9" s="71" t="e">
        <f>HLOOKUP('Identificação e Análise'!#REF!,Vulnerabilidades!$A$3:$L$27,Vulnerabilidades!$N9,0)</f>
        <v>#REF!</v>
      </c>
    </row>
    <row r="10" spans="1:41" ht="44.55" customHeight="1">
      <c r="B10" s="142" t="s">
        <v>332</v>
      </c>
      <c r="C10" s="138" t="s">
        <v>333</v>
      </c>
      <c r="D10" s="138" t="s">
        <v>334</v>
      </c>
      <c r="E10" s="138"/>
      <c r="F10" s="138" t="s">
        <v>335</v>
      </c>
      <c r="G10" s="138" t="s">
        <v>336</v>
      </c>
      <c r="H10" s="143"/>
      <c r="I10" s="39"/>
      <c r="J10" s="83"/>
      <c r="K10" s="83"/>
      <c r="L10" s="83"/>
      <c r="M10" s="39"/>
      <c r="N10" s="71">
        <v>8</v>
      </c>
      <c r="O10" s="71" t="e">
        <f>HLOOKUP('Identificação e Análise'!$D$12,Vulnerabilidades!$A$3:$L$27,Vulnerabilidades!$N10,0)</f>
        <v>#N/A</v>
      </c>
      <c r="P10" s="71" t="e">
        <f>HLOOKUP('Identificação e Análise'!#REF!,Vulnerabilidades!$A$3:$L$27,Vulnerabilidades!$N10,0)</f>
        <v>#REF!</v>
      </c>
      <c r="Q10" s="71" t="e">
        <f>HLOOKUP('Identificação e Análise'!#REF!,Vulnerabilidades!$A$3:$L$27,Vulnerabilidades!$N10,0)</f>
        <v>#REF!</v>
      </c>
      <c r="R10" s="71" t="e">
        <f>HLOOKUP('Identificação e Análise'!$D$15,Vulnerabilidades!$A$3:$L$27,Vulnerabilidades!$N10,0)</f>
        <v>#N/A</v>
      </c>
      <c r="S10" s="71" t="e">
        <f>HLOOKUP('Identificação e Análise'!#REF!,Vulnerabilidades!$A$3:$L$27,Vulnerabilidades!$N10,0)</f>
        <v>#REF!</v>
      </c>
      <c r="T10" s="71" t="e">
        <f>HLOOKUP('Identificação e Análise'!#REF!,Vulnerabilidades!$A$3:$L$27,Vulnerabilidades!$N10,0)</f>
        <v>#REF!</v>
      </c>
      <c r="U10" s="71" t="e">
        <f>HLOOKUP('Identificação e Análise'!$D$18,Vulnerabilidades!$A$3:$L$27,Vulnerabilidades!$N10,0)</f>
        <v>#N/A</v>
      </c>
      <c r="V10" s="71" t="e">
        <f>HLOOKUP('Identificação e Análise'!#REF!,Vulnerabilidades!$A$3:$L$27,Vulnerabilidades!$N10,0)</f>
        <v>#REF!</v>
      </c>
      <c r="W10" s="71" t="e">
        <f>HLOOKUP('Identificação e Análise'!#REF!,Vulnerabilidades!$A$3:$L$27,Vulnerabilidades!$N10,0)</f>
        <v>#REF!</v>
      </c>
      <c r="X10" s="71" t="e">
        <f>HLOOKUP('Identificação e Análise'!$D$21,Vulnerabilidades!$A$3:$L$27,Vulnerabilidades!$N10,0)</f>
        <v>#N/A</v>
      </c>
      <c r="Y10" s="71" t="e">
        <f>HLOOKUP('Identificação e Análise'!#REF!,Vulnerabilidades!$A$3:$L$27,Vulnerabilidades!$N10,0)</f>
        <v>#REF!</v>
      </c>
      <c r="Z10" s="71" t="e">
        <f>HLOOKUP('Identificação e Análise'!#REF!,Vulnerabilidades!$A$3:$L$27,Vulnerabilidades!$N10,0)</f>
        <v>#REF!</v>
      </c>
      <c r="AA10" s="71" t="e">
        <f>HLOOKUP('Identificação e Análise'!$D$24,Vulnerabilidades!$A$3:$L$27,Vulnerabilidades!$N10,0)</f>
        <v>#N/A</v>
      </c>
      <c r="AB10" s="71" t="e">
        <f>HLOOKUP('Identificação e Análise'!#REF!,Vulnerabilidades!$A$3:$L$27,Vulnerabilidades!$N10,0)</f>
        <v>#REF!</v>
      </c>
      <c r="AC10" s="71" t="e">
        <f>HLOOKUP('Identificação e Análise'!#REF!,Vulnerabilidades!$A$3:$L$27,Vulnerabilidades!$N10,0)</f>
        <v>#REF!</v>
      </c>
      <c r="AD10" s="71" t="e">
        <f>HLOOKUP('Identificação e Análise'!$D$27,Vulnerabilidades!$A$3:$L$27,Vulnerabilidades!$N10,0)</f>
        <v>#N/A</v>
      </c>
      <c r="AE10" s="71" t="e">
        <f>HLOOKUP('Identificação e Análise'!#REF!,Vulnerabilidades!$A$3:$L$27,Vulnerabilidades!$N10,0)</f>
        <v>#REF!</v>
      </c>
      <c r="AF10" s="71" t="e">
        <f>HLOOKUP('Identificação e Análise'!#REF!,Vulnerabilidades!$A$3:$L$27,Vulnerabilidades!$N10,0)</f>
        <v>#REF!</v>
      </c>
      <c r="AG10" s="71" t="e">
        <f>HLOOKUP('Identificação e Análise'!$D$30,Vulnerabilidades!$A$3:$L$27,Vulnerabilidades!$N10,0)</f>
        <v>#N/A</v>
      </c>
      <c r="AH10" s="71" t="e">
        <f>HLOOKUP('Identificação e Análise'!#REF!,Vulnerabilidades!$A$3:$L$27,Vulnerabilidades!$N10,0)</f>
        <v>#REF!</v>
      </c>
      <c r="AI10" s="71" t="e">
        <f>HLOOKUP('Identificação e Análise'!#REF!,Vulnerabilidades!$A$3:$L$27,Vulnerabilidades!$N10,0)</f>
        <v>#REF!</v>
      </c>
      <c r="AJ10" s="71" t="e">
        <f>HLOOKUP('Identificação e Análise'!$D$33,Vulnerabilidades!$A$3:$L$27,Vulnerabilidades!$N10,0)</f>
        <v>#N/A</v>
      </c>
      <c r="AK10" s="71" t="e">
        <f>HLOOKUP('Identificação e Análise'!#REF!,Vulnerabilidades!$A$3:$L$27,Vulnerabilidades!$N10,0)</f>
        <v>#REF!</v>
      </c>
      <c r="AL10" s="71" t="e">
        <f>HLOOKUP('Identificação e Análise'!#REF!,Vulnerabilidades!$A$3:$L$27,Vulnerabilidades!$N10,0)</f>
        <v>#REF!</v>
      </c>
      <c r="AM10" s="71" t="e">
        <f>HLOOKUP('Identificação e Análise'!$D$36,Vulnerabilidades!$A$3:$L$27,Vulnerabilidades!$N10,0)</f>
        <v>#N/A</v>
      </c>
      <c r="AN10" s="71" t="e">
        <f>HLOOKUP('Identificação e Análise'!#REF!,Vulnerabilidades!$A$3:$L$27,Vulnerabilidades!$N10,0)</f>
        <v>#REF!</v>
      </c>
      <c r="AO10" s="71" t="e">
        <f>HLOOKUP('Identificação e Análise'!#REF!,Vulnerabilidades!$A$3:$L$27,Vulnerabilidades!$N10,0)</f>
        <v>#REF!</v>
      </c>
    </row>
    <row r="11" spans="1:41" ht="44.55" customHeight="1">
      <c r="B11" s="142" t="s">
        <v>337</v>
      </c>
      <c r="C11" s="138" t="s">
        <v>338</v>
      </c>
      <c r="D11" s="138"/>
      <c r="E11" s="138"/>
      <c r="F11" s="138"/>
      <c r="G11" s="138" t="s">
        <v>339</v>
      </c>
      <c r="H11" s="143"/>
      <c r="I11" s="39"/>
      <c r="J11" s="83"/>
      <c r="K11" s="83"/>
      <c r="L11" s="83"/>
      <c r="M11" s="39"/>
      <c r="N11" s="71">
        <v>9</v>
      </c>
      <c r="O11" s="71" t="e">
        <f>HLOOKUP('Identificação e Análise'!$D$12,Vulnerabilidades!$A$3:$L$27,Vulnerabilidades!$N11,0)</f>
        <v>#N/A</v>
      </c>
      <c r="P11" s="71" t="e">
        <f>HLOOKUP('Identificação e Análise'!#REF!,Vulnerabilidades!$A$3:$L$27,Vulnerabilidades!$N11,0)</f>
        <v>#REF!</v>
      </c>
      <c r="Q11" s="71" t="e">
        <f>HLOOKUP('Identificação e Análise'!#REF!,Vulnerabilidades!$A$3:$L$27,Vulnerabilidades!$N11,0)</f>
        <v>#REF!</v>
      </c>
      <c r="R11" s="71" t="e">
        <f>HLOOKUP('Identificação e Análise'!$D$15,Vulnerabilidades!$A$3:$L$27,Vulnerabilidades!$N11,0)</f>
        <v>#N/A</v>
      </c>
      <c r="S11" s="71" t="e">
        <f>HLOOKUP('Identificação e Análise'!#REF!,Vulnerabilidades!$A$3:$L$27,Vulnerabilidades!$N11,0)</f>
        <v>#REF!</v>
      </c>
      <c r="T11" s="71" t="e">
        <f>HLOOKUP('Identificação e Análise'!#REF!,Vulnerabilidades!$A$3:$L$27,Vulnerabilidades!$N11,0)</f>
        <v>#REF!</v>
      </c>
      <c r="U11" s="71" t="e">
        <f>HLOOKUP('Identificação e Análise'!$D$18,Vulnerabilidades!$A$3:$L$27,Vulnerabilidades!$N11,0)</f>
        <v>#N/A</v>
      </c>
      <c r="V11" s="71" t="e">
        <f>HLOOKUP('Identificação e Análise'!#REF!,Vulnerabilidades!$A$3:$L$27,Vulnerabilidades!$N11,0)</f>
        <v>#REF!</v>
      </c>
      <c r="W11" s="71" t="e">
        <f>HLOOKUP('Identificação e Análise'!#REF!,Vulnerabilidades!$A$3:$L$27,Vulnerabilidades!$N11,0)</f>
        <v>#REF!</v>
      </c>
      <c r="X11" s="71" t="e">
        <f>HLOOKUP('Identificação e Análise'!$D$21,Vulnerabilidades!$A$3:$L$27,Vulnerabilidades!$N11,0)</f>
        <v>#N/A</v>
      </c>
      <c r="Y11" s="71" t="e">
        <f>HLOOKUP('Identificação e Análise'!#REF!,Vulnerabilidades!$A$3:$L$27,Vulnerabilidades!$N11,0)</f>
        <v>#REF!</v>
      </c>
      <c r="Z11" s="71" t="e">
        <f>HLOOKUP('Identificação e Análise'!#REF!,Vulnerabilidades!$A$3:$L$27,Vulnerabilidades!$N11,0)</f>
        <v>#REF!</v>
      </c>
      <c r="AA11" s="71" t="e">
        <f>HLOOKUP('Identificação e Análise'!$D$24,Vulnerabilidades!$A$3:$L$27,Vulnerabilidades!$N11,0)</f>
        <v>#N/A</v>
      </c>
      <c r="AB11" s="71" t="e">
        <f>HLOOKUP('Identificação e Análise'!#REF!,Vulnerabilidades!$A$3:$L$27,Vulnerabilidades!$N11,0)</f>
        <v>#REF!</v>
      </c>
      <c r="AC11" s="71" t="e">
        <f>HLOOKUP('Identificação e Análise'!#REF!,Vulnerabilidades!$A$3:$L$27,Vulnerabilidades!$N11,0)</f>
        <v>#REF!</v>
      </c>
      <c r="AD11" s="71" t="e">
        <f>HLOOKUP('Identificação e Análise'!$D$27,Vulnerabilidades!$A$3:$L$27,Vulnerabilidades!$N11,0)</f>
        <v>#N/A</v>
      </c>
      <c r="AE11" s="71" t="e">
        <f>HLOOKUP('Identificação e Análise'!#REF!,Vulnerabilidades!$A$3:$L$27,Vulnerabilidades!$N11,0)</f>
        <v>#REF!</v>
      </c>
      <c r="AF11" s="71" t="e">
        <f>HLOOKUP('Identificação e Análise'!#REF!,Vulnerabilidades!$A$3:$L$27,Vulnerabilidades!$N11,0)</f>
        <v>#REF!</v>
      </c>
      <c r="AG11" s="71" t="e">
        <f>HLOOKUP('Identificação e Análise'!$D$30,Vulnerabilidades!$A$3:$L$27,Vulnerabilidades!$N11,0)</f>
        <v>#N/A</v>
      </c>
      <c r="AH11" s="71" t="e">
        <f>HLOOKUP('Identificação e Análise'!#REF!,Vulnerabilidades!$A$3:$L$27,Vulnerabilidades!$N11,0)</f>
        <v>#REF!</v>
      </c>
      <c r="AI11" s="71" t="e">
        <f>HLOOKUP('Identificação e Análise'!#REF!,Vulnerabilidades!$A$3:$L$27,Vulnerabilidades!$N11,0)</f>
        <v>#REF!</v>
      </c>
      <c r="AJ11" s="71" t="e">
        <f>HLOOKUP('Identificação e Análise'!$D$33,Vulnerabilidades!$A$3:$L$27,Vulnerabilidades!$N11,0)</f>
        <v>#N/A</v>
      </c>
      <c r="AK11" s="71" t="e">
        <f>HLOOKUP('Identificação e Análise'!#REF!,Vulnerabilidades!$A$3:$L$27,Vulnerabilidades!$N11,0)</f>
        <v>#REF!</v>
      </c>
      <c r="AL11" s="71" t="e">
        <f>HLOOKUP('Identificação e Análise'!#REF!,Vulnerabilidades!$A$3:$L$27,Vulnerabilidades!$N11,0)</f>
        <v>#REF!</v>
      </c>
      <c r="AM11" s="71" t="e">
        <f>HLOOKUP('Identificação e Análise'!$D$36,Vulnerabilidades!$A$3:$L$27,Vulnerabilidades!$N11,0)</f>
        <v>#N/A</v>
      </c>
      <c r="AN11" s="71" t="e">
        <f>HLOOKUP('Identificação e Análise'!#REF!,Vulnerabilidades!$A$3:$L$27,Vulnerabilidades!$N11,0)</f>
        <v>#REF!</v>
      </c>
      <c r="AO11" s="71" t="e">
        <f>HLOOKUP('Identificação e Análise'!#REF!,Vulnerabilidades!$A$3:$L$27,Vulnerabilidades!$N11,0)</f>
        <v>#REF!</v>
      </c>
    </row>
    <row r="12" spans="1:41" ht="44.55" customHeight="1">
      <c r="B12" s="142" t="s">
        <v>340</v>
      </c>
      <c r="C12" s="138" t="s">
        <v>341</v>
      </c>
      <c r="D12" s="138"/>
      <c r="E12" s="138"/>
      <c r="F12" s="138"/>
      <c r="G12" s="138" t="s">
        <v>342</v>
      </c>
      <c r="H12" s="143"/>
      <c r="I12" s="39"/>
      <c r="J12" s="83"/>
      <c r="K12" s="83"/>
      <c r="L12" s="83"/>
      <c r="M12" s="39"/>
      <c r="N12" s="71">
        <v>10</v>
      </c>
      <c r="O12" s="71" t="e">
        <f>HLOOKUP('Identificação e Análise'!$D$12,Vulnerabilidades!$A$3:$L$27,Vulnerabilidades!$N12,0)</f>
        <v>#N/A</v>
      </c>
      <c r="P12" s="71" t="e">
        <f>HLOOKUP('Identificação e Análise'!#REF!,Vulnerabilidades!$A$3:$L$27,Vulnerabilidades!$N12,0)</f>
        <v>#REF!</v>
      </c>
      <c r="Q12" s="71" t="e">
        <f>HLOOKUP('Identificação e Análise'!#REF!,Vulnerabilidades!$A$3:$L$27,Vulnerabilidades!$N12,0)</f>
        <v>#REF!</v>
      </c>
      <c r="R12" s="71" t="e">
        <f>HLOOKUP('Identificação e Análise'!$D$15,Vulnerabilidades!$A$3:$L$27,Vulnerabilidades!$N12,0)</f>
        <v>#N/A</v>
      </c>
      <c r="S12" s="71" t="e">
        <f>HLOOKUP('Identificação e Análise'!#REF!,Vulnerabilidades!$A$3:$L$27,Vulnerabilidades!$N12,0)</f>
        <v>#REF!</v>
      </c>
      <c r="T12" s="71" t="e">
        <f>HLOOKUP('Identificação e Análise'!#REF!,Vulnerabilidades!$A$3:$L$27,Vulnerabilidades!$N12,0)</f>
        <v>#REF!</v>
      </c>
      <c r="U12" s="71" t="e">
        <f>HLOOKUP('Identificação e Análise'!$D$18,Vulnerabilidades!$A$3:$L$27,Vulnerabilidades!$N12,0)</f>
        <v>#N/A</v>
      </c>
      <c r="V12" s="71" t="e">
        <f>HLOOKUP('Identificação e Análise'!#REF!,Vulnerabilidades!$A$3:$L$27,Vulnerabilidades!$N12,0)</f>
        <v>#REF!</v>
      </c>
      <c r="W12" s="71" t="e">
        <f>HLOOKUP('Identificação e Análise'!#REF!,Vulnerabilidades!$A$3:$L$27,Vulnerabilidades!$N12,0)</f>
        <v>#REF!</v>
      </c>
      <c r="X12" s="71" t="e">
        <f>HLOOKUP('Identificação e Análise'!$D$21,Vulnerabilidades!$A$3:$L$27,Vulnerabilidades!$N12,0)</f>
        <v>#N/A</v>
      </c>
      <c r="Y12" s="71" t="e">
        <f>HLOOKUP('Identificação e Análise'!#REF!,Vulnerabilidades!$A$3:$L$27,Vulnerabilidades!$N12,0)</f>
        <v>#REF!</v>
      </c>
      <c r="Z12" s="71" t="e">
        <f>HLOOKUP('Identificação e Análise'!#REF!,Vulnerabilidades!$A$3:$L$27,Vulnerabilidades!$N12,0)</f>
        <v>#REF!</v>
      </c>
      <c r="AA12" s="71" t="e">
        <f>HLOOKUP('Identificação e Análise'!$D$24,Vulnerabilidades!$A$3:$L$27,Vulnerabilidades!$N12,0)</f>
        <v>#N/A</v>
      </c>
      <c r="AB12" s="71" t="e">
        <f>HLOOKUP('Identificação e Análise'!#REF!,Vulnerabilidades!$A$3:$L$27,Vulnerabilidades!$N12,0)</f>
        <v>#REF!</v>
      </c>
      <c r="AC12" s="71" t="e">
        <f>HLOOKUP('Identificação e Análise'!#REF!,Vulnerabilidades!$A$3:$L$27,Vulnerabilidades!$N12,0)</f>
        <v>#REF!</v>
      </c>
      <c r="AD12" s="71" t="e">
        <f>HLOOKUP('Identificação e Análise'!$D$27,Vulnerabilidades!$A$3:$L$27,Vulnerabilidades!$N12,0)</f>
        <v>#N/A</v>
      </c>
      <c r="AE12" s="71" t="e">
        <f>HLOOKUP('Identificação e Análise'!#REF!,Vulnerabilidades!$A$3:$L$27,Vulnerabilidades!$N12,0)</f>
        <v>#REF!</v>
      </c>
      <c r="AF12" s="71" t="e">
        <f>HLOOKUP('Identificação e Análise'!#REF!,Vulnerabilidades!$A$3:$L$27,Vulnerabilidades!$N12,0)</f>
        <v>#REF!</v>
      </c>
      <c r="AG12" s="71" t="e">
        <f>HLOOKUP('Identificação e Análise'!$D$30,Vulnerabilidades!$A$3:$L$27,Vulnerabilidades!$N12,0)</f>
        <v>#N/A</v>
      </c>
      <c r="AH12" s="71" t="e">
        <f>HLOOKUP('Identificação e Análise'!#REF!,Vulnerabilidades!$A$3:$L$27,Vulnerabilidades!$N12,0)</f>
        <v>#REF!</v>
      </c>
      <c r="AI12" s="71" t="e">
        <f>HLOOKUP('Identificação e Análise'!#REF!,Vulnerabilidades!$A$3:$L$27,Vulnerabilidades!$N12,0)</f>
        <v>#REF!</v>
      </c>
      <c r="AJ12" s="71" t="e">
        <f>HLOOKUP('Identificação e Análise'!$D$33,Vulnerabilidades!$A$3:$L$27,Vulnerabilidades!$N12,0)</f>
        <v>#N/A</v>
      </c>
      <c r="AK12" s="71" t="e">
        <f>HLOOKUP('Identificação e Análise'!#REF!,Vulnerabilidades!$A$3:$L$27,Vulnerabilidades!$N12,0)</f>
        <v>#REF!</v>
      </c>
      <c r="AL12" s="71" t="e">
        <f>HLOOKUP('Identificação e Análise'!#REF!,Vulnerabilidades!$A$3:$L$27,Vulnerabilidades!$N12,0)</f>
        <v>#REF!</v>
      </c>
      <c r="AM12" s="71" t="e">
        <f>HLOOKUP('Identificação e Análise'!$D$36,Vulnerabilidades!$A$3:$L$27,Vulnerabilidades!$N12,0)</f>
        <v>#N/A</v>
      </c>
      <c r="AN12" s="71" t="e">
        <f>HLOOKUP('Identificação e Análise'!#REF!,Vulnerabilidades!$A$3:$L$27,Vulnerabilidades!$N12,0)</f>
        <v>#REF!</v>
      </c>
      <c r="AO12" s="71" t="e">
        <f>HLOOKUP('Identificação e Análise'!#REF!,Vulnerabilidades!$A$3:$L$27,Vulnerabilidades!$N12,0)</f>
        <v>#REF!</v>
      </c>
    </row>
    <row r="13" spans="1:41" ht="28.8">
      <c r="B13" s="142"/>
      <c r="C13" s="138" t="s">
        <v>343</v>
      </c>
      <c r="D13" s="138"/>
      <c r="E13" s="138"/>
      <c r="F13" s="138"/>
      <c r="G13" s="138" t="s">
        <v>344</v>
      </c>
      <c r="H13" s="143"/>
      <c r="I13" s="39"/>
      <c r="J13" s="83"/>
      <c r="K13" s="83"/>
      <c r="L13" s="83"/>
      <c r="M13" s="39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</row>
    <row r="14" spans="1:41" ht="43.2">
      <c r="B14" s="142"/>
      <c r="C14" s="138" t="s">
        <v>345</v>
      </c>
      <c r="D14" s="138"/>
      <c r="E14" s="138"/>
      <c r="F14" s="138"/>
      <c r="G14" s="138" t="s">
        <v>346</v>
      </c>
      <c r="H14" s="143"/>
      <c r="I14" s="39"/>
      <c r="J14" s="83"/>
      <c r="K14" s="83"/>
      <c r="L14" s="83"/>
      <c r="M14" s="39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</row>
    <row r="15" spans="1:41" ht="28.8">
      <c r="B15" s="142"/>
      <c r="C15" s="138" t="s">
        <v>347</v>
      </c>
      <c r="D15" s="138"/>
      <c r="E15" s="138"/>
      <c r="F15" s="138"/>
      <c r="G15" s="138"/>
      <c r="H15" s="143"/>
      <c r="I15" s="39"/>
      <c r="J15" s="83"/>
      <c r="K15" s="83"/>
      <c r="L15" s="83"/>
      <c r="M15" s="39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</row>
    <row r="16" spans="1:41">
      <c r="B16" s="142"/>
      <c r="C16" s="138" t="s">
        <v>348</v>
      </c>
      <c r="D16" s="138"/>
      <c r="E16" s="138"/>
      <c r="F16" s="138"/>
      <c r="G16" s="138"/>
      <c r="H16" s="143"/>
      <c r="I16" s="39"/>
      <c r="J16" s="83"/>
      <c r="K16" s="83"/>
      <c r="L16" s="83"/>
      <c r="M16" s="39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</row>
    <row r="17" spans="2:41">
      <c r="B17" s="142"/>
      <c r="C17" s="138" t="s">
        <v>349</v>
      </c>
      <c r="D17" s="138"/>
      <c r="E17" s="138"/>
      <c r="F17" s="138"/>
      <c r="G17" s="138"/>
      <c r="H17" s="143"/>
      <c r="I17" s="39"/>
      <c r="J17" s="83"/>
      <c r="K17" s="83"/>
      <c r="L17" s="83"/>
      <c r="M17" s="39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</row>
    <row r="18" spans="2:41">
      <c r="B18" s="142"/>
      <c r="C18" s="138"/>
      <c r="D18" s="138"/>
      <c r="E18" s="138"/>
      <c r="F18" s="138"/>
      <c r="G18" s="138"/>
      <c r="H18" s="143"/>
      <c r="I18" s="39"/>
      <c r="J18" s="83"/>
      <c r="K18" s="83"/>
      <c r="L18" s="83"/>
      <c r="M18" s="39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</row>
    <row r="19" spans="2:41">
      <c r="B19" s="142"/>
      <c r="C19" s="138"/>
      <c r="D19" s="138"/>
      <c r="E19" s="138"/>
      <c r="F19" s="138"/>
      <c r="G19" s="138"/>
      <c r="H19" s="143"/>
      <c r="I19" s="39"/>
      <c r="J19" s="83"/>
      <c r="K19" s="83"/>
      <c r="L19" s="83"/>
      <c r="M19" s="39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</row>
    <row r="20" spans="2:41">
      <c r="B20" s="142"/>
      <c r="C20" s="138"/>
      <c r="D20" s="138"/>
      <c r="E20" s="138"/>
      <c r="F20" s="138"/>
      <c r="G20" s="138"/>
      <c r="H20" s="143"/>
      <c r="I20" s="39"/>
      <c r="J20" s="83"/>
      <c r="K20" s="83"/>
      <c r="L20" s="83"/>
      <c r="M20" s="39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</row>
    <row r="21" spans="2:41">
      <c r="B21" s="142"/>
      <c r="C21" s="138"/>
      <c r="D21" s="138"/>
      <c r="E21" s="138"/>
      <c r="F21" s="138"/>
      <c r="G21" s="138"/>
      <c r="H21" s="143"/>
      <c r="I21" s="39"/>
      <c r="J21" s="83"/>
      <c r="K21" s="83"/>
      <c r="L21" s="83"/>
      <c r="M21" s="39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</row>
    <row r="22" spans="2:41">
      <c r="B22" s="142"/>
      <c r="C22" s="138"/>
      <c r="D22" s="138"/>
      <c r="E22" s="138"/>
      <c r="F22" s="138"/>
      <c r="G22" s="138"/>
      <c r="H22" s="143"/>
      <c r="I22" s="39"/>
      <c r="J22" s="83"/>
      <c r="K22" s="83"/>
      <c r="L22" s="83"/>
      <c r="M22" s="39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</row>
    <row r="23" spans="2:41">
      <c r="B23" s="142"/>
      <c r="C23" s="138"/>
      <c r="D23" s="138"/>
      <c r="E23" s="138"/>
      <c r="F23" s="138"/>
      <c r="G23" s="138"/>
      <c r="H23" s="143"/>
      <c r="I23" s="39"/>
      <c r="J23" s="83"/>
      <c r="K23" s="83"/>
      <c r="L23" s="83"/>
      <c r="M23" s="39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</row>
    <row r="24" spans="2:41">
      <c r="B24" s="142"/>
      <c r="C24" s="138"/>
      <c r="D24" s="138"/>
      <c r="E24" s="138"/>
      <c r="F24" s="138"/>
      <c r="G24" s="138"/>
      <c r="H24" s="143"/>
      <c r="I24" s="39"/>
      <c r="J24" s="83"/>
      <c r="K24" s="83"/>
      <c r="L24" s="83"/>
      <c r="M24" s="39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</row>
    <row r="25" spans="2:41">
      <c r="B25" s="142"/>
      <c r="C25" s="138"/>
      <c r="D25" s="138"/>
      <c r="E25" s="138"/>
      <c r="F25" s="138"/>
      <c r="G25" s="138"/>
      <c r="H25" s="143"/>
      <c r="I25" s="39"/>
      <c r="J25" s="83"/>
      <c r="K25" s="83"/>
      <c r="L25" s="83"/>
      <c r="M25" s="39"/>
      <c r="N25" s="71">
        <v>11</v>
      </c>
      <c r="O25" s="71" t="e">
        <f>HLOOKUP('Identificação e Análise'!$D$12,Vulnerabilidades!$A$3:$L$27,Vulnerabilidades!$N25,0)</f>
        <v>#N/A</v>
      </c>
      <c r="P25" s="71" t="e">
        <f>HLOOKUP('Identificação e Análise'!#REF!,Vulnerabilidades!$A$3:$L$27,Vulnerabilidades!$N25,0)</f>
        <v>#REF!</v>
      </c>
      <c r="Q25" s="71" t="e">
        <f>HLOOKUP('Identificação e Análise'!#REF!,Vulnerabilidades!$A$3:$L$27,Vulnerabilidades!$N25,0)</f>
        <v>#REF!</v>
      </c>
      <c r="R25" s="71" t="e">
        <f>HLOOKUP('Identificação e Análise'!$D$15,Vulnerabilidades!$A$3:$L$27,Vulnerabilidades!$N25,0)</f>
        <v>#N/A</v>
      </c>
      <c r="S25" s="71" t="e">
        <f>HLOOKUP('Identificação e Análise'!#REF!,Vulnerabilidades!$A$3:$L$27,Vulnerabilidades!$N25,0)</f>
        <v>#REF!</v>
      </c>
      <c r="T25" s="71" t="e">
        <f>HLOOKUP('Identificação e Análise'!#REF!,Vulnerabilidades!$A$3:$L$27,Vulnerabilidades!$N25,0)</f>
        <v>#REF!</v>
      </c>
      <c r="U25" s="71" t="e">
        <f>HLOOKUP('Identificação e Análise'!$D$18,Vulnerabilidades!$A$3:$L$27,Vulnerabilidades!$N25,0)</f>
        <v>#N/A</v>
      </c>
      <c r="V25" s="71" t="e">
        <f>HLOOKUP('Identificação e Análise'!#REF!,Vulnerabilidades!$A$3:$L$27,Vulnerabilidades!$N25,0)</f>
        <v>#REF!</v>
      </c>
      <c r="W25" s="71" t="e">
        <f>HLOOKUP('Identificação e Análise'!#REF!,Vulnerabilidades!$A$3:$L$27,Vulnerabilidades!$N25,0)</f>
        <v>#REF!</v>
      </c>
      <c r="X25" s="71" t="e">
        <f>HLOOKUP('Identificação e Análise'!$D$21,Vulnerabilidades!$A$3:$L$27,Vulnerabilidades!$N25,0)</f>
        <v>#N/A</v>
      </c>
      <c r="Y25" s="71" t="e">
        <f>HLOOKUP('Identificação e Análise'!#REF!,Vulnerabilidades!$A$3:$L$27,Vulnerabilidades!$N25,0)</f>
        <v>#REF!</v>
      </c>
      <c r="Z25" s="71" t="e">
        <f>HLOOKUP('Identificação e Análise'!#REF!,Vulnerabilidades!$A$3:$L$27,Vulnerabilidades!$N25,0)</f>
        <v>#REF!</v>
      </c>
      <c r="AA25" s="71" t="e">
        <f>HLOOKUP('Identificação e Análise'!$D$24,Vulnerabilidades!$A$3:$L$27,Vulnerabilidades!$N25,0)</f>
        <v>#N/A</v>
      </c>
      <c r="AB25" s="71" t="e">
        <f>HLOOKUP('Identificação e Análise'!#REF!,Vulnerabilidades!$A$3:$L$27,Vulnerabilidades!$N25,0)</f>
        <v>#REF!</v>
      </c>
      <c r="AC25" s="71" t="e">
        <f>HLOOKUP('Identificação e Análise'!#REF!,Vulnerabilidades!$A$3:$L$27,Vulnerabilidades!$N25,0)</f>
        <v>#REF!</v>
      </c>
      <c r="AD25" s="71" t="e">
        <f>HLOOKUP('Identificação e Análise'!$D$27,Vulnerabilidades!$A$3:$L$27,Vulnerabilidades!$N25,0)</f>
        <v>#N/A</v>
      </c>
      <c r="AE25" s="71" t="e">
        <f>HLOOKUP('Identificação e Análise'!#REF!,Vulnerabilidades!$A$3:$L$27,Vulnerabilidades!$N25,0)</f>
        <v>#REF!</v>
      </c>
      <c r="AF25" s="71" t="e">
        <f>HLOOKUP('Identificação e Análise'!#REF!,Vulnerabilidades!$A$3:$L$27,Vulnerabilidades!$N25,0)</f>
        <v>#REF!</v>
      </c>
      <c r="AG25" s="71" t="e">
        <f>HLOOKUP('Identificação e Análise'!$D$30,Vulnerabilidades!$A$3:$L$27,Vulnerabilidades!$N25,0)</f>
        <v>#N/A</v>
      </c>
      <c r="AH25" s="71" t="e">
        <f>HLOOKUP('Identificação e Análise'!#REF!,Vulnerabilidades!$A$3:$L$27,Vulnerabilidades!$N25,0)</f>
        <v>#REF!</v>
      </c>
      <c r="AI25" s="71" t="e">
        <f>HLOOKUP('Identificação e Análise'!#REF!,Vulnerabilidades!$A$3:$L$27,Vulnerabilidades!$N25,0)</f>
        <v>#REF!</v>
      </c>
      <c r="AJ25" s="71" t="e">
        <f>HLOOKUP('Identificação e Análise'!$D$33,Vulnerabilidades!$A$3:$L$27,Vulnerabilidades!$N25,0)</f>
        <v>#N/A</v>
      </c>
      <c r="AK25" s="71" t="e">
        <f>HLOOKUP('Identificação e Análise'!#REF!,Vulnerabilidades!$A$3:$L$27,Vulnerabilidades!$N25,0)</f>
        <v>#REF!</v>
      </c>
      <c r="AL25" s="71" t="e">
        <f>HLOOKUP('Identificação e Análise'!#REF!,Vulnerabilidades!$A$3:$L$27,Vulnerabilidades!$N25,0)</f>
        <v>#REF!</v>
      </c>
      <c r="AM25" s="71" t="e">
        <f>HLOOKUP('Identificação e Análise'!$D$36,Vulnerabilidades!$A$3:$L$27,Vulnerabilidades!$N25,0)</f>
        <v>#N/A</v>
      </c>
      <c r="AN25" s="71" t="e">
        <f>HLOOKUP('Identificação e Análise'!#REF!,Vulnerabilidades!$A$3:$L$27,Vulnerabilidades!$N25,0)</f>
        <v>#REF!</v>
      </c>
      <c r="AO25" s="71" t="e">
        <f>HLOOKUP('Identificação e Análise'!#REF!,Vulnerabilidades!$A$3:$L$27,Vulnerabilidades!$N25,0)</f>
        <v>#REF!</v>
      </c>
    </row>
    <row r="26" spans="2:41">
      <c r="B26" s="142"/>
      <c r="C26" s="138"/>
      <c r="D26" s="138"/>
      <c r="E26" s="138"/>
      <c r="F26" s="138"/>
      <c r="G26" s="138"/>
      <c r="H26" s="143"/>
      <c r="I26" s="39"/>
      <c r="J26" s="83"/>
      <c r="K26" s="83"/>
      <c r="L26" s="83"/>
      <c r="M26" s="39"/>
      <c r="N26" s="71">
        <v>12</v>
      </c>
      <c r="O26" s="71" t="e">
        <f>HLOOKUP('Identificação e Análise'!$D$12,Vulnerabilidades!$A$3:$L$27,Vulnerabilidades!$N26,0)</f>
        <v>#N/A</v>
      </c>
      <c r="P26" s="71" t="e">
        <f>HLOOKUP('Identificação e Análise'!#REF!,Vulnerabilidades!$A$3:$L$27,Vulnerabilidades!$N26,0)</f>
        <v>#REF!</v>
      </c>
      <c r="Q26" s="71" t="e">
        <f>HLOOKUP('Identificação e Análise'!#REF!,Vulnerabilidades!$A$3:$L$27,Vulnerabilidades!$N26,0)</f>
        <v>#REF!</v>
      </c>
      <c r="R26" s="71" t="e">
        <f>HLOOKUP('Identificação e Análise'!$D$15,Vulnerabilidades!$A$3:$L$27,Vulnerabilidades!$N26,0)</f>
        <v>#N/A</v>
      </c>
      <c r="S26" s="71" t="e">
        <f>HLOOKUP('Identificação e Análise'!#REF!,Vulnerabilidades!$A$3:$L$27,Vulnerabilidades!$N26,0)</f>
        <v>#REF!</v>
      </c>
      <c r="T26" s="71" t="e">
        <f>HLOOKUP('Identificação e Análise'!#REF!,Vulnerabilidades!$A$3:$L$27,Vulnerabilidades!$N26,0)</f>
        <v>#REF!</v>
      </c>
      <c r="U26" s="71" t="e">
        <f>HLOOKUP('Identificação e Análise'!$D$18,Vulnerabilidades!$A$3:$L$27,Vulnerabilidades!$N26,0)</f>
        <v>#N/A</v>
      </c>
      <c r="V26" s="71" t="e">
        <f>HLOOKUP('Identificação e Análise'!#REF!,Vulnerabilidades!$A$3:$L$27,Vulnerabilidades!$N26,0)</f>
        <v>#REF!</v>
      </c>
      <c r="W26" s="71" t="e">
        <f>HLOOKUP('Identificação e Análise'!#REF!,Vulnerabilidades!$A$3:$L$27,Vulnerabilidades!$N26,0)</f>
        <v>#REF!</v>
      </c>
      <c r="X26" s="71" t="e">
        <f>HLOOKUP('Identificação e Análise'!$D$21,Vulnerabilidades!$A$3:$L$27,Vulnerabilidades!$N26,0)</f>
        <v>#N/A</v>
      </c>
      <c r="Y26" s="71" t="e">
        <f>HLOOKUP('Identificação e Análise'!#REF!,Vulnerabilidades!$A$3:$L$27,Vulnerabilidades!$N26,0)</f>
        <v>#REF!</v>
      </c>
      <c r="Z26" s="71" t="e">
        <f>HLOOKUP('Identificação e Análise'!#REF!,Vulnerabilidades!$A$3:$L$27,Vulnerabilidades!$N26,0)</f>
        <v>#REF!</v>
      </c>
      <c r="AA26" s="71" t="e">
        <f>HLOOKUP('Identificação e Análise'!$D$24,Vulnerabilidades!$A$3:$L$27,Vulnerabilidades!$N26,0)</f>
        <v>#N/A</v>
      </c>
      <c r="AB26" s="71" t="e">
        <f>HLOOKUP('Identificação e Análise'!#REF!,Vulnerabilidades!$A$3:$L$27,Vulnerabilidades!$N26,0)</f>
        <v>#REF!</v>
      </c>
      <c r="AC26" s="71" t="e">
        <f>HLOOKUP('Identificação e Análise'!#REF!,Vulnerabilidades!$A$3:$L$27,Vulnerabilidades!$N26,0)</f>
        <v>#REF!</v>
      </c>
      <c r="AD26" s="71" t="e">
        <f>HLOOKUP('Identificação e Análise'!$D$27,Vulnerabilidades!$A$3:$L$27,Vulnerabilidades!$N26,0)</f>
        <v>#N/A</v>
      </c>
      <c r="AE26" s="71" t="e">
        <f>HLOOKUP('Identificação e Análise'!#REF!,Vulnerabilidades!$A$3:$L$27,Vulnerabilidades!$N26,0)</f>
        <v>#REF!</v>
      </c>
      <c r="AF26" s="71" t="e">
        <f>HLOOKUP('Identificação e Análise'!#REF!,Vulnerabilidades!$A$3:$L$27,Vulnerabilidades!$N26,0)</f>
        <v>#REF!</v>
      </c>
      <c r="AG26" s="71" t="e">
        <f>HLOOKUP('Identificação e Análise'!$D$30,Vulnerabilidades!$A$3:$L$27,Vulnerabilidades!$N26,0)</f>
        <v>#N/A</v>
      </c>
      <c r="AH26" s="71" t="e">
        <f>HLOOKUP('Identificação e Análise'!#REF!,Vulnerabilidades!$A$3:$L$27,Vulnerabilidades!$N26,0)</f>
        <v>#REF!</v>
      </c>
      <c r="AI26" s="71" t="e">
        <f>HLOOKUP('Identificação e Análise'!#REF!,Vulnerabilidades!$A$3:$L$27,Vulnerabilidades!$N26,0)</f>
        <v>#REF!</v>
      </c>
      <c r="AJ26" s="71" t="e">
        <f>HLOOKUP('Identificação e Análise'!$D$33,Vulnerabilidades!$A$3:$L$27,Vulnerabilidades!$N26,0)</f>
        <v>#N/A</v>
      </c>
      <c r="AK26" s="71" t="e">
        <f>HLOOKUP('Identificação e Análise'!#REF!,Vulnerabilidades!$A$3:$L$27,Vulnerabilidades!$N26,0)</f>
        <v>#REF!</v>
      </c>
      <c r="AL26" s="71" t="e">
        <f>HLOOKUP('Identificação e Análise'!#REF!,Vulnerabilidades!$A$3:$L$27,Vulnerabilidades!$N26,0)</f>
        <v>#REF!</v>
      </c>
      <c r="AM26" s="71" t="e">
        <f>HLOOKUP('Identificação e Análise'!$D$36,Vulnerabilidades!$A$3:$L$27,Vulnerabilidades!$N26,0)</f>
        <v>#N/A</v>
      </c>
      <c r="AN26" s="71" t="e">
        <f>HLOOKUP('Identificação e Análise'!#REF!,Vulnerabilidades!$A$3:$L$27,Vulnerabilidades!$N26,0)</f>
        <v>#REF!</v>
      </c>
      <c r="AO26" s="71" t="e">
        <f>HLOOKUP('Identificação e Análise'!#REF!,Vulnerabilidades!$A$3:$L$27,Vulnerabilidades!$N26,0)</f>
        <v>#REF!</v>
      </c>
    </row>
    <row r="27" spans="2:41" ht="15" thickBot="1">
      <c r="B27" s="145"/>
      <c r="C27" s="146"/>
      <c r="D27" s="146"/>
      <c r="E27" s="146"/>
      <c r="F27" s="146"/>
      <c r="G27" s="146"/>
      <c r="H27" s="147"/>
      <c r="I27" s="86"/>
      <c r="J27" s="84"/>
      <c r="K27" s="84"/>
      <c r="L27" s="84"/>
      <c r="M27" s="39"/>
      <c r="N27" s="71">
        <v>13</v>
      </c>
      <c r="O27" s="71" t="e">
        <f>HLOOKUP('Identificação e Análise'!$D$12,Vulnerabilidades!$A$3:$L$27,Vulnerabilidades!$N27,0)</f>
        <v>#N/A</v>
      </c>
      <c r="P27" s="71" t="e">
        <f>HLOOKUP('Identificação e Análise'!#REF!,Vulnerabilidades!$A$3:$L$27,Vulnerabilidades!$N27,0)</f>
        <v>#REF!</v>
      </c>
      <c r="Q27" s="71" t="e">
        <f>HLOOKUP('Identificação e Análise'!#REF!,Vulnerabilidades!$A$3:$L$27,Vulnerabilidades!$N27,0)</f>
        <v>#REF!</v>
      </c>
      <c r="R27" s="71" t="e">
        <f>HLOOKUP('Identificação e Análise'!$D$15,Vulnerabilidades!$A$3:$L$27,Vulnerabilidades!$N27,0)</f>
        <v>#N/A</v>
      </c>
      <c r="S27" s="71" t="e">
        <f>HLOOKUP('Identificação e Análise'!#REF!,Vulnerabilidades!$A$3:$L$27,Vulnerabilidades!$N27,0)</f>
        <v>#REF!</v>
      </c>
      <c r="T27" s="71" t="e">
        <f>HLOOKUP('Identificação e Análise'!#REF!,Vulnerabilidades!$A$3:$L$27,Vulnerabilidades!$N27,0)</f>
        <v>#REF!</v>
      </c>
      <c r="U27" s="71" t="e">
        <f>HLOOKUP('Identificação e Análise'!$D$18,Vulnerabilidades!$A$3:$L$27,Vulnerabilidades!$N27,0)</f>
        <v>#N/A</v>
      </c>
      <c r="V27" s="71" t="e">
        <f>HLOOKUP('Identificação e Análise'!#REF!,Vulnerabilidades!$A$3:$L$27,Vulnerabilidades!$N27,0)</f>
        <v>#REF!</v>
      </c>
      <c r="W27" s="71" t="e">
        <f>HLOOKUP('Identificação e Análise'!#REF!,Vulnerabilidades!$A$3:$L$27,Vulnerabilidades!$N27,0)</f>
        <v>#REF!</v>
      </c>
      <c r="X27" s="71" t="e">
        <f>HLOOKUP('Identificação e Análise'!$D$21,Vulnerabilidades!$A$3:$L$27,Vulnerabilidades!$N27,0)</f>
        <v>#N/A</v>
      </c>
      <c r="Y27" s="71" t="e">
        <f>HLOOKUP('Identificação e Análise'!#REF!,Vulnerabilidades!$A$3:$L$27,Vulnerabilidades!$N27,0)</f>
        <v>#REF!</v>
      </c>
      <c r="Z27" s="71" t="e">
        <f>HLOOKUP('Identificação e Análise'!#REF!,Vulnerabilidades!$A$3:$L$27,Vulnerabilidades!$N27,0)</f>
        <v>#REF!</v>
      </c>
      <c r="AA27" s="71" t="e">
        <f>HLOOKUP('Identificação e Análise'!$D$24,Vulnerabilidades!$A$3:$L$27,Vulnerabilidades!$N27,0)</f>
        <v>#N/A</v>
      </c>
      <c r="AB27" s="71" t="e">
        <f>HLOOKUP('Identificação e Análise'!#REF!,Vulnerabilidades!$A$3:$L$27,Vulnerabilidades!$N27,0)</f>
        <v>#REF!</v>
      </c>
      <c r="AC27" s="71" t="e">
        <f>HLOOKUP('Identificação e Análise'!#REF!,Vulnerabilidades!$A$3:$L$27,Vulnerabilidades!$N27,0)</f>
        <v>#REF!</v>
      </c>
      <c r="AD27" s="71" t="e">
        <f>HLOOKUP('Identificação e Análise'!$D$27,Vulnerabilidades!$A$3:$L$27,Vulnerabilidades!$N27,0)</f>
        <v>#N/A</v>
      </c>
      <c r="AE27" s="71" t="e">
        <f>HLOOKUP('Identificação e Análise'!#REF!,Vulnerabilidades!$A$3:$L$27,Vulnerabilidades!$N27,0)</f>
        <v>#REF!</v>
      </c>
      <c r="AF27" s="71" t="e">
        <f>HLOOKUP('Identificação e Análise'!#REF!,Vulnerabilidades!$A$3:$L$27,Vulnerabilidades!$N27,0)</f>
        <v>#REF!</v>
      </c>
      <c r="AG27" s="71" t="e">
        <f>HLOOKUP('Identificação e Análise'!$D$30,Vulnerabilidades!$A$3:$L$27,Vulnerabilidades!$N27,0)</f>
        <v>#N/A</v>
      </c>
      <c r="AH27" s="71" t="e">
        <f>HLOOKUP('Identificação e Análise'!#REF!,Vulnerabilidades!$A$3:$L$27,Vulnerabilidades!$N27,0)</f>
        <v>#REF!</v>
      </c>
      <c r="AI27" s="71" t="e">
        <f>HLOOKUP('Identificação e Análise'!#REF!,Vulnerabilidades!$A$3:$L$27,Vulnerabilidades!$N27,0)</f>
        <v>#REF!</v>
      </c>
      <c r="AJ27" s="71" t="e">
        <f>HLOOKUP('Identificação e Análise'!$D$33,Vulnerabilidades!$A$3:$L$27,Vulnerabilidades!$N27,0)</f>
        <v>#N/A</v>
      </c>
      <c r="AK27" s="71" t="e">
        <f>HLOOKUP('Identificação e Análise'!#REF!,Vulnerabilidades!$A$3:$L$27,Vulnerabilidades!$N27,0)</f>
        <v>#REF!</v>
      </c>
      <c r="AL27" s="71" t="e">
        <f>HLOOKUP('Identificação e Análise'!#REF!,Vulnerabilidades!$A$3:$L$27,Vulnerabilidades!$N27,0)</f>
        <v>#REF!</v>
      </c>
      <c r="AM27" s="71" t="e">
        <f>HLOOKUP('Identificação e Análise'!$D$36,Vulnerabilidades!$A$3:$L$27,Vulnerabilidades!$N27,0)</f>
        <v>#N/A</v>
      </c>
      <c r="AN27" s="71" t="e">
        <f>HLOOKUP('Identificação e Análise'!#REF!,Vulnerabilidades!$A$3:$L$27,Vulnerabilidades!$N27,0)</f>
        <v>#REF!</v>
      </c>
      <c r="AO27" s="71" t="e">
        <f>HLOOKUP('Identificação e Análise'!#REF!,Vulnerabilidades!$A$3:$L$27,Vulnerabilidades!$N27,0)</f>
        <v>#REF!</v>
      </c>
    </row>
    <row r="28" spans="2:41">
      <c r="O28" s="24"/>
    </row>
  </sheetData>
  <sheetProtection formatCells="0" formatColumns="0" formatRows="0" insertColumns="0" insertRows="0" insertHyperlinks="0" deleteColumns="0" deleteRows="0" selectLockedCells="1" sort="0" autoFilter="0" pivotTables="0"/>
  <mergeCells count="3">
    <mergeCell ref="B2:H2"/>
    <mergeCell ref="B1:L1"/>
    <mergeCell ref="J2:L2"/>
  </mergeCells>
  <pageMargins left="0.511811024" right="0.511811024" top="0.78740157499999996" bottom="0.78740157499999996" header="0.31496062000000002" footer="0.31496062000000002"/>
  <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os xmlns="290a2336-7309-47bb-af51-1da33a0e4b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2F57AE07A082F478BF07F2C7C28F4B9" ma:contentTypeVersion="4" ma:contentTypeDescription="Crie um novo documento." ma:contentTypeScope="" ma:versionID="9c7a53b52b887d62e0adbf6bc30439c7">
  <xsd:schema xmlns:xsd="http://www.w3.org/2001/XMLSchema" xmlns:xs="http://www.w3.org/2001/XMLSchema" xmlns:p="http://schemas.microsoft.com/office/2006/metadata/properties" xmlns:ns2="290a2336-7309-47bb-af51-1da33a0e4b98" targetNamespace="http://schemas.microsoft.com/office/2006/metadata/properties" ma:root="true" ma:fieldsID="6dac43e85321026f94476ffec06c0ca2" ns2:_="">
    <xsd:import namespace="290a2336-7309-47bb-af51-1da33a0e4b98"/>
    <xsd:element name="properties">
      <xsd:complexType>
        <xsd:sequence>
          <xsd:element name="documentManagement">
            <xsd:complexType>
              <xsd:all>
                <xsd:element ref="ns2:Documentos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a2336-7309-47bb-af51-1da33a0e4b98" elementFormDefault="qualified">
    <xsd:import namespace="http://schemas.microsoft.com/office/2006/documentManagement/types"/>
    <xsd:import namespace="http://schemas.microsoft.com/office/infopath/2007/PartnerControls"/>
    <xsd:element name="Documentos" ma:index="8" nillable="true" ma:displayName="Documentos" ma:format="Dropdown" ma:internalName="Documentos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099C10-3BB2-427C-B21E-7F9F8094DC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2D1E1B-04E9-4A8B-90A7-0DC6F725BCBD}">
  <ds:schemaRefs>
    <ds:schemaRef ds:uri="http://purl.org/dc/terms/"/>
    <ds:schemaRef ds:uri="290a2336-7309-47bb-af51-1da33a0e4b98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105C1E0-C5BA-4A3F-96F5-D88ED5A7D7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0a2336-7309-47bb-af51-1da33a0e4b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Planilha1</vt:lpstr>
      <vt:lpstr>Entendimento</vt:lpstr>
      <vt:lpstr>Identificação e Análise</vt:lpstr>
      <vt:lpstr>Matriz de Riscos e Controles</vt:lpstr>
      <vt:lpstr>Mapa de Calor</vt:lpstr>
      <vt:lpstr>Matriz de Planejamento</vt:lpstr>
      <vt:lpstr>Matriz de Achados(1)</vt:lpstr>
      <vt:lpstr>Matriz de Referência</vt:lpstr>
      <vt:lpstr>Listas</vt:lpstr>
      <vt:lpstr>Tabelas</vt:lpstr>
      <vt:lpstr>Orientações</vt:lpstr>
      <vt:lpstr>Vulnerabilidades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Ferreira Gomes</dc:creator>
  <cp:keywords/>
  <dc:description/>
  <cp:lastModifiedBy>Bruno Dias Pereira</cp:lastModifiedBy>
  <cp:revision/>
  <dcterms:created xsi:type="dcterms:W3CDTF">2024-02-26T10:13:11Z</dcterms:created>
  <dcterms:modified xsi:type="dcterms:W3CDTF">2026-06-26T18:16:34Z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d1aa98-b4b6-4f6d-a238-eb87b534c92d_Enabled">
    <vt:lpwstr>true</vt:lpwstr>
  </property>
  <property fmtid="{D5CDD505-2E9C-101B-9397-08002B2CF9AE}" pid="3" name="MSIP_Label_aad1aa98-b4b6-4f6d-a238-eb87b534c92d_SetDate">
    <vt:lpwstr>2024-02-26T11:01:37Z</vt:lpwstr>
  </property>
  <property fmtid="{D5CDD505-2E9C-101B-9397-08002B2CF9AE}" pid="4" name="MSIP_Label_aad1aa98-b4b6-4f6d-a238-eb87b534c92d_Method">
    <vt:lpwstr>Standard</vt:lpwstr>
  </property>
  <property fmtid="{D5CDD505-2E9C-101B-9397-08002B2CF9AE}" pid="5" name="MSIP_Label_aad1aa98-b4b6-4f6d-a238-eb87b534c92d_Name">
    <vt:lpwstr>defa4170-0d19-0005-0004-bc88714345d2</vt:lpwstr>
  </property>
  <property fmtid="{D5CDD505-2E9C-101B-9397-08002B2CF9AE}" pid="6" name="MSIP_Label_aad1aa98-b4b6-4f6d-a238-eb87b534c92d_SiteId">
    <vt:lpwstr>83bd090b-756e-4a02-a512-e5ea02c03041</vt:lpwstr>
  </property>
  <property fmtid="{D5CDD505-2E9C-101B-9397-08002B2CF9AE}" pid="7" name="MSIP_Label_aad1aa98-b4b6-4f6d-a238-eb87b534c92d_ActionId">
    <vt:lpwstr>3e329bca-0dc0-4212-8562-effb47cd0120</vt:lpwstr>
  </property>
  <property fmtid="{D5CDD505-2E9C-101B-9397-08002B2CF9AE}" pid="8" name="MSIP_Label_aad1aa98-b4b6-4f6d-a238-eb87b534c92d_ContentBits">
    <vt:lpwstr>0</vt:lpwstr>
  </property>
  <property fmtid="{D5CDD505-2E9C-101B-9397-08002B2CF9AE}" pid="9" name="ContentTypeId">
    <vt:lpwstr>0x010100C2F57AE07A082F478BF07F2C7C28F4B9</vt:lpwstr>
  </property>
</Properties>
</file>